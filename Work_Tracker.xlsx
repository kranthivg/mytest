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Ideas" sheetId="3" state="visible" r:id="rId5"/>
    <sheet name="Lists" sheetId="4" state="visible" r:id="rId6"/>
    <sheet name="How to Use" sheetId="5" state="visible" r:id="rId7"/>
  </sheets>
  <definedNames>
    <definedName function="false" hidden="false" localSheetId="2" name="_xlnm.Print_Titles" vbProcedure="false">Ideas!$4:$4</definedName>
    <definedName function="false" hidden="true" localSheetId="2" name="_xlnm._FilterDatabase" vbProcedure="false">Ideas!$A$4:$I$304</definedName>
    <definedName function="false" hidden="false" localSheetId="1" name="_xlnm.Print_Titles" vbProcedure="false">Tasks!$4:$4</definedName>
    <definedName function="false" hidden="true" localSheetId="1" name="_xlnm._FilterDatabase" vbProcedure="false">Tasks!$A$4:$M$504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Days until Due Date (negative = overdue). Blank once Done or Cancelled.</t>
        </r>
      </text>
    </comment>
    <comment ref="H4" authorId="0">
      <text>
        <r>
          <rPr>
            <sz val="10"/>
            <rFont val="Arial"/>
            <family val="2"/>
          </rPr>
          <t xml:space="preserve">Auto flag: OVERDUE, DUE TODAY, DUE SOON (within 3 days), or blank.</t>
        </r>
      </text>
    </comment>
  </commentList>
</comments>
</file>

<file path=xl/sharedStrings.xml><?xml version="1.0" encoding="utf-8"?>
<sst xmlns="http://schemas.openxmlformats.org/spreadsheetml/2006/main" count="163" uniqueCount="117">
  <si>
    <t xml:space="preserve">Work Tracker - Dashboard</t>
  </si>
  <si>
    <t xml:space="preserve">Everything here is calculated from the Tasks and Ideas sheets. Nothing to type on this page.</t>
  </si>
  <si>
    <t xml:space="preserve">Today:</t>
  </si>
  <si>
    <t xml:space="preserve">Needs attention</t>
  </si>
  <si>
    <t xml:space="preserve">Count</t>
  </si>
  <si>
    <t xml:space="preserve">Tasks by status</t>
  </si>
  <si>
    <t xml:space="preserve">Open tasks by priority</t>
  </si>
  <si>
    <t xml:space="preserve">Overdue</t>
  </si>
  <si>
    <t xml:space="preserve">Due today</t>
  </si>
  <si>
    <t xml:space="preserve">Due in next 3 days</t>
  </si>
  <si>
    <t xml:space="preserve">Due in next 7 days (open)</t>
  </si>
  <si>
    <t xml:space="preserve">Blocked</t>
  </si>
  <si>
    <t xml:space="preserve">Waiting on someone</t>
  </si>
  <si>
    <t xml:space="preserve">Open tasks by category</t>
  </si>
  <si>
    <t xml:space="preserve">Open with no due date</t>
  </si>
  <si>
    <t xml:space="preserve">P1 - Critical still open</t>
  </si>
  <si>
    <t xml:space="preserve">Total tasks</t>
  </si>
  <si>
    <t xml:space="preserve">Open tasks</t>
  </si>
  <si>
    <t xml:space="preserve">Completion rate</t>
  </si>
  <si>
    <t xml:space="preserve">Ideas pipeline</t>
  </si>
  <si>
    <t xml:space="preserve">Colour legend</t>
  </si>
  <si>
    <t xml:space="preserve">In Progress</t>
  </si>
  <si>
    <t xml:space="preserve">Done (struck through)</t>
  </si>
  <si>
    <t xml:space="preserve">Postponed</t>
  </si>
  <si>
    <t xml:space="preserve">Waiting</t>
  </si>
  <si>
    <t xml:space="preserve">Total ideas</t>
  </si>
  <si>
    <t xml:space="preserve">Cancelled (greyed)</t>
  </si>
  <si>
    <t xml:space="preserve">Cells you can type in</t>
  </si>
  <si>
    <t xml:space="preserve">Calculated cells</t>
  </si>
  <si>
    <t xml:space="preserve">Work Tracker - Tasks</t>
  </si>
  <si>
    <t xml:space="preserve">Fill the light-yellow columns. Grey columns calculate themselves. Use the dropdowns for Category, Priority and Status.</t>
  </si>
  <si>
    <t xml:space="preserve">ID</t>
  </si>
  <si>
    <t xml:space="preserve">Task</t>
  </si>
  <si>
    <t xml:space="preserve">Category</t>
  </si>
  <si>
    <t xml:space="preserve">Priority</t>
  </si>
  <si>
    <t xml:space="preserve">Status</t>
  </si>
  <si>
    <t xml:space="preserve">Due Date</t>
  </si>
  <si>
    <t xml:space="preserve">Days Left</t>
  </si>
  <si>
    <t xml:space="preserve">Flag</t>
  </si>
  <si>
    <t xml:space="preserve">Started</t>
  </si>
  <si>
    <t xml:space="preserve">Completed</t>
  </si>
  <si>
    <t xml:space="preserve">Blocked By / Waiting On</t>
  </si>
  <si>
    <t xml:space="preserve">Next Action</t>
  </si>
  <si>
    <t xml:space="preserve">Notes</t>
  </si>
  <si>
    <t xml:space="preserve">Prepare Q4 planning deck</t>
  </si>
  <si>
    <t xml:space="preserve">Project</t>
  </si>
  <si>
    <t xml:space="preserve">P1 - Critical</t>
  </si>
  <si>
    <t xml:space="preserve">Finish slides 8-12, send to manager for review</t>
  </si>
  <si>
    <t xml:space="preserve">Reuse last quarter's template</t>
  </si>
  <si>
    <t xml:space="preserve">Submit expense report</t>
  </si>
  <si>
    <t xml:space="preserve">Admin</t>
  </si>
  <si>
    <t xml:space="preserve">P3 - Medium</t>
  </si>
  <si>
    <t xml:space="preserve">Not Started</t>
  </si>
  <si>
    <t xml:space="preserve">Collect receipts from travel folder</t>
  </si>
  <si>
    <t xml:space="preserve">Follow up with vendor on contract</t>
  </si>
  <si>
    <t xml:space="preserve">Meeting / Follow-up</t>
  </si>
  <si>
    <t xml:space="preserve">P2 - High</t>
  </si>
  <si>
    <t xml:space="preserve">Vendor legal team reply</t>
  </si>
  <si>
    <t xml:space="preserve">Chase again on Friday if no response</t>
  </si>
  <si>
    <t xml:space="preserve">Set up CI pipeline for new service</t>
  </si>
  <si>
    <t xml:space="preserve">Need repo access from IT</t>
  </si>
  <si>
    <t xml:space="preserve">Ping IT helpdesk ticket #4521</t>
  </si>
  <si>
    <t xml:space="preserve">Read 'Deep Work' chapter 3</t>
  </si>
  <si>
    <t xml:space="preserve">Learning</t>
  </si>
  <si>
    <t xml:space="preserve">P4 - Low</t>
  </si>
  <si>
    <t xml:space="preserve">Reschedule to next week</t>
  </si>
  <si>
    <t xml:space="preserve">Postponed twice already</t>
  </si>
  <si>
    <t xml:space="preserve">Update team onboarding doc</t>
  </si>
  <si>
    <t xml:space="preserve">Done</t>
  </si>
  <si>
    <t xml:space="preserve">Shared in team channel</t>
  </si>
  <si>
    <t xml:space="preserve">Ideas &amp; Someday / Maybe</t>
  </si>
  <si>
    <t xml:space="preserve">Park anything you might want to do. When an idea becomes real work, set its status to 'Promoted to Task' and add it to the Tasks sheet.</t>
  </si>
  <si>
    <t xml:space="preserve">Idea</t>
  </si>
  <si>
    <t xml:space="preserve">Impact</t>
  </si>
  <si>
    <t xml:space="preserve">Effort</t>
  </si>
  <si>
    <t xml:space="preserve">Added</t>
  </si>
  <si>
    <t xml:space="preserve">Why it matters / Notes</t>
  </si>
  <si>
    <t xml:space="preserve">First Step</t>
  </si>
  <si>
    <t xml:space="preserve">Automate weekly status report</t>
  </si>
  <si>
    <t xml:space="preserve">High</t>
  </si>
  <si>
    <t xml:space="preserve">Medium</t>
  </si>
  <si>
    <t xml:space="preserve">Exploring</t>
  </si>
  <si>
    <t xml:space="preserve">Saves ~1 hr every Friday</t>
  </si>
  <si>
    <t xml:space="preserve">List the data sources the report pulls from</t>
  </si>
  <si>
    <t xml:space="preserve">Learn SQL window functions</t>
  </si>
  <si>
    <t xml:space="preserve">Low</t>
  </si>
  <si>
    <t xml:space="preserve">New</t>
  </si>
  <si>
    <t xml:space="preserve">Keeps coming up in analytics requests</t>
  </si>
  <si>
    <t xml:space="preserve">Find a 1-hour tutorial</t>
  </si>
  <si>
    <t xml:space="preserve">Propose monthly team demo day</t>
  </si>
  <si>
    <t xml:space="preserve">Other</t>
  </si>
  <si>
    <t xml:space="preserve">Parked</t>
  </si>
  <si>
    <t xml:space="preserve">Good for visibility, revisit next quarter</t>
  </si>
  <si>
    <t xml:space="preserve">Dropdown lists - edit these to customise the tracker (Dashboard and validations update automatically).</t>
  </si>
  <si>
    <t xml:space="preserve">Idea Status</t>
  </si>
  <si>
    <t xml:space="preserve">Level</t>
  </si>
  <si>
    <t xml:space="preserve">Promoted to Task</t>
  </si>
  <si>
    <t xml:space="preserve">Personal Dev</t>
  </si>
  <si>
    <t xml:space="preserve">Dropped</t>
  </si>
  <si>
    <t xml:space="preserve">Cancelled</t>
  </si>
  <si>
    <t xml:space="preserve">How to use this tracker</t>
  </si>
  <si>
    <t xml:space="preserve">Daily</t>
  </si>
  <si>
    <t xml:space="preserve">1. Open the Dashboard - it shows what is overdue, due soon, blocked, or waiting on someone.</t>
  </si>
  <si>
    <t xml:space="preserve">2. Go to Tasks, add new rows at the bottom (type in any light-yellow cell). ID, Days Left and Flag fill in by themselves.</t>
  </si>
  <si>
    <t xml:space="preserve">3. Update Status with the dropdown: Not Started, In Progress, Done, Blocked, Postponed, Waiting, Cancelled. The row recolours automatically.</t>
  </si>
  <si>
    <t xml:space="preserve">4. When something is Blocked or Waiting, write who/what you are waiting on in 'Blocked By / Waiting On' so the Dashboard can nag you.</t>
  </si>
  <si>
    <t xml:space="preserve">5. Postponing: set Status to Postponed and move the Due Date. Use Notes to record how many times you have pushed it.</t>
  </si>
  <si>
    <t xml:space="preserve">6. Marking Done: set Status to Done and fill 'Completed' - this feeds the 'Completed last 7 days' metric.</t>
  </si>
  <si>
    <t xml:space="preserve">Ideas</t>
  </si>
  <si>
    <t xml:space="preserve">- Dump anything you might want to do in the Ideas sheet. Rate Impact and Effort; High-impact / Low-effort rows glow green - do those first.</t>
  </si>
  <si>
    <t xml:space="preserve">- When you commit to an idea, set it to 'Promoted to Task' and add it to Tasks. Park or Drop the rest without guilt.</t>
  </si>
  <si>
    <t xml:space="preserve">Tips</t>
  </si>
  <si>
    <t xml:space="preserve">- Filter arrows on the header row let you view one status, priority or category at a time. Sort by Due Date for a daily plan.</t>
  </si>
  <si>
    <t xml:space="preserve">- Customise the dropdown values in the Lists sheet (add your own categories, rename priorities). Dashboard rows follow the list.</t>
  </si>
  <si>
    <t xml:space="preserve">- Weekly review: filter Tasks to Blocked / Waiting / Postponed and decide for each: chase, reschedule, or cancel.</t>
  </si>
  <si>
    <t xml:space="preserve">- Keep Done rows; they are your record. If the sheet gets long, cut old Done rows into a separate archive file.</t>
  </si>
  <si>
    <t xml:space="preserve">- Dates use TODAY(), so counts refresh every time you open the file. Each sheet has room for hundreds of rows pre-formatted.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</si>
</sst>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&quot;, &quot;dd\-mmm\-yyyy"/>
    <numFmt numFmtId="166" formatCode="0"/>
    <numFmt numFmtId="167" formatCode="0%"/>
    <numFmt numFmtId="168" formatCode="General"/>
    <numFmt numFmtId="169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EDE7F6"/>
      </patternFill>
    </fill>
    <fill>
      <patternFill patternType="solid">
        <fgColor rgb="FFFFF2CC"/>
        <bgColor rgb="FFFFFDE7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strike val="1"/>
        <color rgb="FF808080"/>
        <sz val="10"/>
      </font>
      <fill>
        <patternFill>
          <bgColor rgb="FFE2EFDA"/>
        </patternFill>
      </fill>
    </dxf>
    <dxf>
      <font>
        <name val="Arial"/>
        <charset val="1"/>
        <family val="0"/>
        <strike val="1"/>
        <color rgb="FFA6A6A6"/>
        <sz val="10"/>
      </font>
      <fill>
        <patternFill>
          <bgColor rgb="FFEDEDED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EDE7F6"/>
        </patternFill>
      </fill>
    </dxf>
    <dxf>
      <fill>
        <patternFill>
          <bgColor rgb="FFDDEBF7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BF8F00"/>
        <sz val="10"/>
      </font>
    </dxf>
    <dxf>
      <fill>
        <patternFill>
          <bgColor rgb="FFE2EF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DE7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EDE7F6"/>
      <rgbColor rgb="FFEDEDED"/>
      <rgbColor rgb="FFF2F2F2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A6A6A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E2" s="3" t="s">
        <v>2</v>
      </c>
      <c r="F2" s="4" t="n">
        <f aca="true">TODAY()</f>
        <v>46313</v>
      </c>
    </row>
    <row r="4" customFormat="false" ht="15" hidden="false" customHeight="false" outlineLevel="0" collapsed="false">
      <c r="A4" s="5" t="s">
        <v>3</v>
      </c>
      <c r="B4" s="6" t="s">
        <v>4</v>
      </c>
      <c r="D4" s="5" t="s">
        <v>5</v>
      </c>
      <c r="E4" s="6" t="s">
        <v>4</v>
      </c>
      <c r="G4" s="5" t="s">
        <v>6</v>
      </c>
      <c r="H4" s="6" t="s">
        <v>4</v>
      </c>
    </row>
    <row r="5" customFormat="false" ht="15" hidden="false" customHeight="false" outlineLevel="0" collapsed="false">
      <c r="A5" s="7" t="s">
        <v>7</v>
      </c>
      <c r="B5" s="8" t="n">
        <f aca="false">COUNTIF(Tasks!$H$5:$H$504,"OVERDUE")</f>
        <v>1</v>
      </c>
      <c r="D5" s="9" t="str">
        <f aca="false">Lists!A4</f>
        <v>Not Started</v>
      </c>
      <c r="E5" s="10" t="n">
        <f aca="false">COUNTIF(Tasks!$E$5:$E$504,Lists!A4)</f>
        <v>1</v>
      </c>
      <c r="G5" s="7" t="str">
        <f aca="false">Lists!B4</f>
        <v>P1 - Critical</v>
      </c>
      <c r="H5" s="8" t="n">
        <f aca="false">SUMPRODUCT((Tasks!$D$5:$D$504=Lists!B4)*(Tasks!$E$5:$E$504&lt;&gt;"Done")*(Tasks!$E$5:$E$504&lt;&gt;"Cancelled")*(Tasks!$B$5:$B$504&lt;&gt;""))</f>
        <v>1</v>
      </c>
    </row>
    <row r="6" customFormat="false" ht="15" hidden="false" customHeight="false" outlineLevel="0" collapsed="false">
      <c r="A6" s="11" t="s">
        <v>8</v>
      </c>
      <c r="B6" s="12" t="n">
        <f aca="false">COUNTIF(Tasks!$H$5:$H$504,"DUE TODAY")</f>
        <v>0</v>
      </c>
      <c r="D6" s="13" t="str">
        <f aca="false">Lists!A5</f>
        <v>In Progress</v>
      </c>
      <c r="E6" s="14" t="n">
        <f aca="false">COUNTIF(Tasks!$E$5:$E$504,Lists!A5)</f>
        <v>1</v>
      </c>
      <c r="G6" s="9" t="str">
        <f aca="false">Lists!B5</f>
        <v>P2 - High</v>
      </c>
      <c r="H6" s="10" t="n">
        <f aca="false">SUMPRODUCT((Tasks!$D$5:$D$504=Lists!B5)*(Tasks!$E$5:$E$504&lt;&gt;"Done")*(Tasks!$E$5:$E$504&lt;&gt;"Cancelled")*(Tasks!$B$5:$B$504&lt;&gt;""))</f>
        <v>2</v>
      </c>
    </row>
    <row r="7" customFormat="false" ht="15" hidden="false" customHeight="false" outlineLevel="0" collapsed="false">
      <c r="A7" s="11" t="s">
        <v>9</v>
      </c>
      <c r="B7" s="12" t="n">
        <f aca="false">COUNTIF(Tasks!$H$5:$H$504,"DUE SOON")</f>
        <v>1</v>
      </c>
      <c r="D7" s="15" t="str">
        <f aca="false">Lists!A6</f>
        <v>Done</v>
      </c>
      <c r="E7" s="16" t="n">
        <f aca="false">COUNTIF(Tasks!$E$5:$E$504,Lists!A6)</f>
        <v>1</v>
      </c>
      <c r="G7" s="9" t="str">
        <f aca="false">Lists!B6</f>
        <v>P3 - Medium</v>
      </c>
      <c r="H7" s="10" t="n">
        <f aca="false">SUMPRODUCT((Tasks!$D$5:$D$504=Lists!B6)*(Tasks!$E$5:$E$504&lt;&gt;"Done")*(Tasks!$E$5:$E$504&lt;&gt;"Cancelled")*(Tasks!$B$5:$B$504&lt;&gt;""))</f>
        <v>1</v>
      </c>
    </row>
    <row r="8" customFormat="false" ht="15" hidden="false" customHeight="false" outlineLevel="0" collapsed="false">
      <c r="A8" s="9" t="s">
        <v>10</v>
      </c>
      <c r="B8" s="10" t="n">
        <f aca="true">SUMPRODUCT((Tasks!$F$5:$F$504&gt;=TODAY())*(Tasks!$F$5:$F$504&lt;=TODAY()+7)*(Tasks!$E$5:$E$504&lt;&gt;"Done")*(Tasks!$E$5:$E$504&lt;&gt;"Cancelled")*(Tasks!$F$5:$F$504&lt;&gt;""))</f>
        <v>2</v>
      </c>
      <c r="D8" s="7" t="str">
        <f aca="false">Lists!A7</f>
        <v>Blocked</v>
      </c>
      <c r="E8" s="8" t="n">
        <f aca="false">COUNTIF(Tasks!$E$5:$E$504,Lists!A7)</f>
        <v>1</v>
      </c>
      <c r="G8" s="9" t="str">
        <f aca="false">Lists!B7</f>
        <v>P4 - Low</v>
      </c>
      <c r="H8" s="10" t="n">
        <f aca="false">SUMPRODUCT((Tasks!$D$5:$D$504=Lists!B7)*(Tasks!$E$5:$E$504&lt;&gt;"Done")*(Tasks!$E$5:$E$504&lt;&gt;"Cancelled")*(Tasks!$B$5:$B$504&lt;&gt;""))</f>
        <v>1</v>
      </c>
    </row>
    <row r="9" customFormat="false" ht="15" hidden="false" customHeight="false" outlineLevel="0" collapsed="false">
      <c r="A9" s="7" t="s">
        <v>11</v>
      </c>
      <c r="B9" s="8" t="n">
        <f aca="false">COUNTIF(Tasks!$E$5:$E$504,"Blocked")</f>
        <v>1</v>
      </c>
      <c r="D9" s="11" t="str">
        <f aca="false">Lists!A8</f>
        <v>Postponed</v>
      </c>
      <c r="E9" s="12" t="n">
        <f aca="false">COUNTIF(Tasks!$E$5:$E$504,Lists!A8)</f>
        <v>1</v>
      </c>
    </row>
    <row r="10" customFormat="false" ht="15" hidden="false" customHeight="false" outlineLevel="0" collapsed="false">
      <c r="A10" s="17" t="s">
        <v>12</v>
      </c>
      <c r="B10" s="18" t="n">
        <f aca="false">COUNTIF(Tasks!$E$5:$E$504,"Waiting")</f>
        <v>1</v>
      </c>
      <c r="D10" s="17" t="str">
        <f aca="false">Lists!A9</f>
        <v>Waiting</v>
      </c>
      <c r="E10" s="18" t="n">
        <f aca="false">COUNTIF(Tasks!$E$5:$E$504,Lists!A9)</f>
        <v>1</v>
      </c>
      <c r="G10" s="5" t="s">
        <v>13</v>
      </c>
      <c r="H10" s="6" t="s">
        <v>4</v>
      </c>
    </row>
    <row r="11" customFormat="false" ht="15" hidden="false" customHeight="false" outlineLevel="0" collapsed="false">
      <c r="A11" s="9" t="s">
        <v>14</v>
      </c>
      <c r="B11" s="10" t="n">
        <f aca="false">SUMPRODUCT((Tasks!$B$5:$B$504&lt;&gt;"")*(Tasks!$F$5:$F$504="")*(Tasks!$E$5:$E$504&lt;&gt;"Done")*(Tasks!$E$5:$E$504&lt;&gt;"Cancelled"))</f>
        <v>0</v>
      </c>
      <c r="D11" s="9" t="str">
        <f aca="false">Lists!A10</f>
        <v>Cancelled</v>
      </c>
      <c r="E11" s="10" t="n">
        <f aca="false">COUNTIF(Tasks!$E$5:$E$504,Lists!A10)</f>
        <v>0</v>
      </c>
      <c r="G11" s="9" t="str">
        <f aca="false">Lists!C4</f>
        <v>Project</v>
      </c>
      <c r="H11" s="10" t="n">
        <f aca="false">SUMPRODUCT((Tasks!$C$5:$C$504=Lists!C4)*(Tasks!$E$5:$E$504&lt;&gt;"Done")*(Tasks!$E$5:$E$504&lt;&gt;"Cancelled")*(Tasks!$B$5:$B$504&lt;&gt;""))</f>
        <v>2</v>
      </c>
    </row>
    <row r="12" customFormat="false" ht="15" hidden="false" customHeight="false" outlineLevel="0" collapsed="false">
      <c r="A12" s="7" t="s">
        <v>15</v>
      </c>
      <c r="B12" s="8" t="n">
        <f aca="false">SUMPRODUCT((Tasks!$D$5:$D$504="P1 - Critical")*(Tasks!$E$5:$E$504&lt;&gt;"Done")*(Tasks!$E$5:$E$504&lt;&gt;"Cancelled")*(Tasks!$B$5:$B$504&lt;&gt;""))</f>
        <v>1</v>
      </c>
      <c r="D12" s="19" t="s">
        <v>16</v>
      </c>
      <c r="E12" s="10" t="n">
        <f aca="false">COUNTA(Tasks!$B$5:$B$504)</f>
        <v>6</v>
      </c>
      <c r="G12" s="9" t="str">
        <f aca="false">Lists!C5</f>
        <v>Admin</v>
      </c>
      <c r="H12" s="10" t="n">
        <f aca="false">SUMPRODUCT((Tasks!$C$5:$C$504=Lists!C5)*(Tasks!$E$5:$E$504&lt;&gt;"Done")*(Tasks!$E$5:$E$504&lt;&gt;"Cancelled")*(Tasks!$B$5:$B$504&lt;&gt;""))</f>
        <v>1</v>
      </c>
    </row>
    <row r="13" customFormat="false" ht="15" hidden="false" customHeight="false" outlineLevel="0" collapsed="false">
      <c r="D13" s="9" t="s">
        <v>17</v>
      </c>
      <c r="E13" s="10" t="n">
        <f aca="false">COUNTA(Tasks!$B$5:$B$504)-COUNTIF(Tasks!$E$5:$E$504,"Done")-COUNTIF(Tasks!$E$5:$E$504,"Cancelled")</f>
        <v>5</v>
      </c>
      <c r="G13" s="9" t="str">
        <f aca="false">Lists!C6</f>
        <v>Meeting / Follow-up</v>
      </c>
      <c r="H13" s="10" t="n">
        <f aca="false">SUMPRODUCT((Tasks!$C$5:$C$504=Lists!C6)*(Tasks!$E$5:$E$504&lt;&gt;"Done")*(Tasks!$E$5:$E$504&lt;&gt;"Cancelled")*(Tasks!$B$5:$B$504&lt;&gt;""))</f>
        <v>1</v>
      </c>
    </row>
    <row r="14" customFormat="false" ht="15" hidden="false" customHeight="false" outlineLevel="0" collapsed="false">
      <c r="D14" s="9" t="s">
        <v>18</v>
      </c>
      <c r="E14" s="20" t="n">
        <f aca="false">IF(COUNTA(Tasks!$B$5:$B$504)=0,0,COUNTIF(Tasks!$E$5:$E$504,"Done")/COUNTA(Tasks!$B$5:$B$504))</f>
        <v>0.166666666666667</v>
      </c>
      <c r="G14" s="9" t="str">
        <f aca="false">Lists!C7</f>
        <v>Learning</v>
      </c>
      <c r="H14" s="10" t="n">
        <f aca="false">SUMPRODUCT((Tasks!$C$5:$C$504=Lists!C7)*(Tasks!$E$5:$E$504&lt;&gt;"Done")*(Tasks!$E$5:$E$504&lt;&gt;"Cancelled")*(Tasks!$B$5:$B$504&lt;&gt;""))</f>
        <v>1</v>
      </c>
    </row>
    <row r="15" customFormat="false" ht="15" hidden="false" customHeight="false" outlineLevel="0" collapsed="false">
      <c r="A15" s="5" t="s">
        <v>19</v>
      </c>
      <c r="B15" s="6" t="s">
        <v>4</v>
      </c>
      <c r="D15" s="21" t="s">
        <v>20</v>
      </c>
      <c r="E15" s="22"/>
      <c r="G15" s="9" t="str">
        <f aca="false">Lists!C8</f>
        <v>Personal Dev</v>
      </c>
      <c r="H15" s="10" t="n">
        <f aca="false">SUMPRODUCT((Tasks!$C$5:$C$504=Lists!C8)*(Tasks!$E$5:$E$504&lt;&gt;"Done")*(Tasks!$E$5:$E$504&lt;&gt;"Cancelled")*(Tasks!$B$5:$B$504&lt;&gt;""))</f>
        <v>0</v>
      </c>
    </row>
    <row r="16" customFormat="false" ht="15" hidden="false" customHeight="false" outlineLevel="0" collapsed="false">
      <c r="A16" s="9" t="str">
        <f aca="false">Lists!D4</f>
        <v>New</v>
      </c>
      <c r="B16" s="10" t="n">
        <f aca="false">COUNTIF(Ideas!$F$5:$F$304,Lists!D4)</f>
        <v>1</v>
      </c>
      <c r="D16" s="23" t="s">
        <v>21</v>
      </c>
      <c r="E16" s="24"/>
      <c r="G16" s="9" t="str">
        <f aca="false">Lists!C9</f>
        <v>Idea</v>
      </c>
      <c r="H16" s="10" t="n">
        <f aca="false">SUMPRODUCT((Tasks!$C$5:$C$504=Lists!C9)*(Tasks!$E$5:$E$504&lt;&gt;"Done")*(Tasks!$E$5:$E$504&lt;&gt;"Cancelled")*(Tasks!$B$5:$B$504&lt;&gt;""))</f>
        <v>0</v>
      </c>
    </row>
    <row r="17" customFormat="false" ht="15" hidden="false" customHeight="false" outlineLevel="0" collapsed="false">
      <c r="A17" s="9" t="str">
        <f aca="false">Lists!D5</f>
        <v>Exploring</v>
      </c>
      <c r="B17" s="10" t="n">
        <f aca="false">COUNTIF(Ideas!$F$5:$F$304,Lists!D5)</f>
        <v>1</v>
      </c>
      <c r="D17" s="25" t="s">
        <v>22</v>
      </c>
      <c r="E17" s="26"/>
      <c r="G17" s="9" t="str">
        <f aca="false">Lists!C10</f>
        <v>Other</v>
      </c>
      <c r="H17" s="10" t="n">
        <f aca="false">SUMPRODUCT((Tasks!$C$5:$C$504=Lists!C10)*(Tasks!$E$5:$E$504&lt;&gt;"Done")*(Tasks!$E$5:$E$504&lt;&gt;"Cancelled")*(Tasks!$B$5:$B$504&lt;&gt;""))</f>
        <v>0</v>
      </c>
    </row>
    <row r="18" customFormat="false" ht="15" hidden="false" customHeight="false" outlineLevel="0" collapsed="false">
      <c r="A18" s="9" t="str">
        <f aca="false">Lists!D6</f>
        <v>Promoted to Task</v>
      </c>
      <c r="B18" s="10" t="n">
        <f aca="false">COUNTIF(Ideas!$F$5:$F$304,Lists!D6)</f>
        <v>0</v>
      </c>
      <c r="D18" s="27" t="s">
        <v>11</v>
      </c>
      <c r="E18" s="28"/>
    </row>
    <row r="19" customFormat="false" ht="15" hidden="false" customHeight="false" outlineLevel="0" collapsed="false">
      <c r="A19" s="9" t="str">
        <f aca="false">Lists!D7</f>
        <v>Parked</v>
      </c>
      <c r="B19" s="10" t="n">
        <f aca="false">COUNTIF(Ideas!$F$5:$F$304,Lists!D7)</f>
        <v>1</v>
      </c>
      <c r="D19" s="29" t="s">
        <v>23</v>
      </c>
      <c r="E19" s="30"/>
    </row>
    <row r="20" customFormat="false" ht="15" hidden="false" customHeight="false" outlineLevel="0" collapsed="false">
      <c r="A20" s="9" t="str">
        <f aca="false">Lists!D8</f>
        <v>Dropped</v>
      </c>
      <c r="B20" s="10" t="n">
        <f aca="false">COUNTIF(Ideas!$F$5:$F$304,Lists!D8)</f>
        <v>0</v>
      </c>
      <c r="D20" s="31" t="s">
        <v>24</v>
      </c>
      <c r="E20" s="32"/>
    </row>
    <row r="21" customFormat="false" ht="15" hidden="false" customHeight="false" outlineLevel="0" collapsed="false">
      <c r="A21" s="9" t="s">
        <v>25</v>
      </c>
      <c r="B21" s="10" t="n">
        <f aca="false">COUNTA(Ideas!$B$5:$B$304)</f>
        <v>3</v>
      </c>
      <c r="D21" s="33" t="s">
        <v>26</v>
      </c>
      <c r="E21" s="34"/>
    </row>
    <row r="22" customFormat="false" ht="15" hidden="false" customHeight="false" outlineLevel="0" collapsed="false">
      <c r="D22" s="35" t="s">
        <v>27</v>
      </c>
      <c r="E22" s="36"/>
    </row>
    <row r="23" customFormat="false" ht="15" hidden="false" customHeight="false" outlineLevel="0" collapsed="false">
      <c r="D23" s="37" t="s">
        <v>28</v>
      </c>
      <c r="E23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M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7.75" hidden="false" customHeight="true" outlineLevel="0" collapsed="false">
      <c r="A4" s="39" t="s">
        <v>31</v>
      </c>
      <c r="B4" s="39" t="s">
        <v>32</v>
      </c>
      <c r="C4" s="39" t="s">
        <v>33</v>
      </c>
      <c r="D4" s="39" t="s">
        <v>34</v>
      </c>
      <c r="E4" s="39" t="s">
        <v>35</v>
      </c>
      <c r="F4" s="39" t="s">
        <v>36</v>
      </c>
      <c r="G4" s="39" t="s">
        <v>37</v>
      </c>
      <c r="H4" s="39" t="s">
        <v>38</v>
      </c>
      <c r="I4" s="39" t="s">
        <v>39</v>
      </c>
      <c r="J4" s="39" t="s">
        <v>40</v>
      </c>
      <c r="K4" s="39" t="s">
        <v>41</v>
      </c>
      <c r="L4" s="39" t="s">
        <v>42</v>
      </c>
      <c r="M4" s="39" t="s">
        <v>43</v>
      </c>
    </row>
    <row r="5" customFormat="false" ht="18" hidden="false" customHeight="true" outlineLevel="0" collapsed="false">
      <c r="A5" s="40" t="n">
        <f aca="false">IF(B5="","",ROW()-4)</f>
        <v>1</v>
      </c>
      <c r="B5" s="41" t="s">
        <v>44</v>
      </c>
      <c r="C5" s="42" t="s">
        <v>45</v>
      </c>
      <c r="D5" s="42" t="s">
        <v>46</v>
      </c>
      <c r="E5" s="42" t="s">
        <v>21</v>
      </c>
      <c r="F5" s="43" t="n">
        <v>46315</v>
      </c>
      <c r="G5" s="40" t="n">
        <f aca="true">IF(OR(F5="",E5="Done",E5="Cancelled"),"",F5-TODAY())</f>
        <v>2</v>
      </c>
      <c r="H5" s="44" t="str">
        <f aca="false">IF(G5="","",IF(G5&lt;0,"OVERDUE",IF(G5=0,"DUE TODAY",IF(G5&lt;=3,"DUE SOON",""))))</f>
        <v>DUE SOON</v>
      </c>
      <c r="I5" s="43" t="n">
        <v>46308</v>
      </c>
      <c r="J5" s="43"/>
      <c r="K5" s="41"/>
      <c r="L5" s="41" t="s">
        <v>47</v>
      </c>
      <c r="M5" s="41" t="s">
        <v>48</v>
      </c>
    </row>
    <row r="6" customFormat="false" ht="18" hidden="false" customHeight="true" outlineLevel="0" collapsed="false">
      <c r="A6" s="40" t="n">
        <f aca="false">IF(B6="","",ROW()-4)</f>
        <v>2</v>
      </c>
      <c r="B6" s="41" t="s">
        <v>49</v>
      </c>
      <c r="C6" s="42" t="s">
        <v>50</v>
      </c>
      <c r="D6" s="42" t="s">
        <v>51</v>
      </c>
      <c r="E6" s="42" t="s">
        <v>52</v>
      </c>
      <c r="F6" s="43" t="n">
        <v>46320</v>
      </c>
      <c r="G6" s="40" t="n">
        <f aca="true">IF(OR(F6="",E6="Done",E6="Cancelled"),"",F6-TODAY())</f>
        <v>7</v>
      </c>
      <c r="H6" s="44" t="str">
        <f aca="false">IF(G6="","",IF(G6&lt;0,"OVERDUE",IF(G6=0,"DUE TODAY",IF(G6&lt;=3,"DUE SOON",""))))</f>
        <v/>
      </c>
      <c r="I6" s="43"/>
      <c r="J6" s="43"/>
      <c r="K6" s="41"/>
      <c r="L6" s="41" t="s">
        <v>53</v>
      </c>
      <c r="M6" s="41"/>
    </row>
    <row r="7" customFormat="false" ht="18" hidden="false" customHeight="true" outlineLevel="0" collapsed="false">
      <c r="A7" s="40" t="n">
        <f aca="false">IF(B7="","",ROW()-4)</f>
        <v>3</v>
      </c>
      <c r="B7" s="41" t="s">
        <v>54</v>
      </c>
      <c r="C7" s="42" t="s">
        <v>55</v>
      </c>
      <c r="D7" s="42" t="s">
        <v>56</v>
      </c>
      <c r="E7" s="42" t="s">
        <v>24</v>
      </c>
      <c r="F7" s="43" t="n">
        <v>46312</v>
      </c>
      <c r="G7" s="40" t="n">
        <f aca="true">IF(OR(F7="",E7="Done",E7="Cancelled"),"",F7-TODAY())</f>
        <v>-1</v>
      </c>
      <c r="H7" s="44" t="str">
        <f aca="false">IF(G7="","",IF(G7&lt;0,"OVERDUE",IF(G7=0,"DUE TODAY",IF(G7&lt;=3,"DUE SOON",""))))</f>
        <v>OVERDUE</v>
      </c>
      <c r="I7" s="43" t="n">
        <v>46303</v>
      </c>
      <c r="J7" s="43"/>
      <c r="K7" s="41" t="s">
        <v>57</v>
      </c>
      <c r="L7" s="41" t="s">
        <v>58</v>
      </c>
      <c r="M7" s="41"/>
    </row>
    <row r="8" customFormat="false" ht="18" hidden="false" customHeight="true" outlineLevel="0" collapsed="false">
      <c r="A8" s="40" t="n">
        <f aca="false">IF(B8="","",ROW()-4)</f>
        <v>4</v>
      </c>
      <c r="B8" s="41" t="s">
        <v>59</v>
      </c>
      <c r="C8" s="42" t="s">
        <v>45</v>
      </c>
      <c r="D8" s="42" t="s">
        <v>56</v>
      </c>
      <c r="E8" s="42" t="s">
        <v>11</v>
      </c>
      <c r="F8" s="43" t="n">
        <v>46323</v>
      </c>
      <c r="G8" s="40" t="n">
        <f aca="true">IF(OR(F8="",E8="Done",E8="Cancelled"),"",F8-TODAY())</f>
        <v>10</v>
      </c>
      <c r="H8" s="44" t="str">
        <f aca="false">IF(G8="","",IF(G8&lt;0,"OVERDUE",IF(G8=0,"DUE TODAY",IF(G8&lt;=3,"DUE SOON",""))))</f>
        <v/>
      </c>
      <c r="I8" s="43" t="n">
        <v>46310</v>
      </c>
      <c r="J8" s="43"/>
      <c r="K8" s="41" t="s">
        <v>60</v>
      </c>
      <c r="L8" s="41" t="s">
        <v>61</v>
      </c>
      <c r="M8" s="41"/>
    </row>
    <row r="9" customFormat="false" ht="18" hidden="false" customHeight="true" outlineLevel="0" collapsed="false">
      <c r="A9" s="40" t="n">
        <f aca="false">IF(B9="","",ROW()-4)</f>
        <v>5</v>
      </c>
      <c r="B9" s="41" t="s">
        <v>62</v>
      </c>
      <c r="C9" s="42" t="s">
        <v>63</v>
      </c>
      <c r="D9" s="42" t="s">
        <v>64</v>
      </c>
      <c r="E9" s="42" t="s">
        <v>23</v>
      </c>
      <c r="F9" s="43" t="n">
        <v>46334</v>
      </c>
      <c r="G9" s="40" t="n">
        <f aca="true">IF(OR(F9="",E9="Done",E9="Cancelled"),"",F9-TODAY())</f>
        <v>21</v>
      </c>
      <c r="H9" s="44" t="str">
        <f aca="false">IF(G9="","",IF(G9&lt;0,"OVERDUE",IF(G9=0,"DUE TODAY",IF(G9&lt;=3,"DUE SOON",""))))</f>
        <v/>
      </c>
      <c r="I9" s="43"/>
      <c r="J9" s="43"/>
      <c r="K9" s="41"/>
      <c r="L9" s="41" t="s">
        <v>65</v>
      </c>
      <c r="M9" s="41" t="s">
        <v>66</v>
      </c>
    </row>
    <row r="10" customFormat="false" ht="18" hidden="false" customHeight="true" outlineLevel="0" collapsed="false">
      <c r="A10" s="40" t="n">
        <f aca="false">IF(B10="","",ROW()-4)</f>
        <v>6</v>
      </c>
      <c r="B10" s="41" t="s">
        <v>67</v>
      </c>
      <c r="C10" s="42" t="s">
        <v>50</v>
      </c>
      <c r="D10" s="42" t="s">
        <v>51</v>
      </c>
      <c r="E10" s="42" t="s">
        <v>68</v>
      </c>
      <c r="F10" s="43" t="n">
        <v>46311</v>
      </c>
      <c r="G10" s="40" t="str">
        <f aca="true">IF(OR(F10="",E10="Done",E10="Cancelled"),"",F10-TODAY())</f>
        <v/>
      </c>
      <c r="H10" s="44" t="str">
        <f aca="false">IF(G10="","",IF(G10&lt;0,"OVERDUE",IF(G10=0,"DUE TODAY",IF(G10&lt;=3,"DUE SOON",""))))</f>
        <v/>
      </c>
      <c r="I10" s="43" t="n">
        <v>46307</v>
      </c>
      <c r="J10" s="43" t="n">
        <v>46311</v>
      </c>
      <c r="K10" s="41"/>
      <c r="L10" s="41"/>
      <c r="M10" s="41" t="s">
        <v>69</v>
      </c>
    </row>
    <row r="11" customFormat="false" ht="18" hidden="false" customHeight="true" outlineLevel="0" collapsed="false">
      <c r="A11" s="40" t="str">
        <f aca="false">IF(B11="","",ROW()-4)</f>
        <v/>
      </c>
      <c r="B11" s="41"/>
      <c r="C11" s="42"/>
      <c r="D11" s="42"/>
      <c r="E11" s="42"/>
      <c r="F11" s="43"/>
      <c r="G11" s="40" t="str">
        <f aca="true">IF(OR(F11="",E11="Done",E11="Cancelled"),"",F11-TODAY())</f>
        <v/>
      </c>
      <c r="H11" s="44" t="str">
        <f aca="false">IF(G11="","",IF(G11&lt;0,"OVERDUE",IF(G11=0,"DUE TODAY",IF(G11&lt;=3,"DUE SOON",""))))</f>
        <v/>
      </c>
      <c r="I11" s="43"/>
      <c r="J11" s="43"/>
      <c r="K11" s="41"/>
      <c r="L11" s="41"/>
      <c r="M11" s="41"/>
    </row>
    <row r="12" customFormat="false" ht="18" hidden="false" customHeight="true" outlineLevel="0" collapsed="false">
      <c r="A12" s="40" t="str">
        <f aca="false">IF(B12="","",ROW()-4)</f>
        <v/>
      </c>
      <c r="B12" s="41"/>
      <c r="C12" s="42"/>
      <c r="D12" s="42"/>
      <c r="E12" s="42"/>
      <c r="F12" s="43"/>
      <c r="G12" s="40" t="str">
        <f aca="true">IF(OR(F12="",E12="Done",E12="Cancelled"),"",F12-TODAY())</f>
        <v/>
      </c>
      <c r="H12" s="44" t="str">
        <f aca="false">IF(G12="","",IF(G12&lt;0,"OVERDUE",IF(G12=0,"DUE TODAY",IF(G12&lt;=3,"DUE SOON",""))))</f>
        <v/>
      </c>
      <c r="I12" s="43"/>
      <c r="J12" s="43"/>
      <c r="K12" s="41"/>
      <c r="L12" s="41"/>
      <c r="M12" s="41"/>
    </row>
    <row r="13" customFormat="false" ht="18" hidden="false" customHeight="true" outlineLevel="0" collapsed="false">
      <c r="A13" s="40" t="str">
        <f aca="false">IF(B13="","",ROW()-4)</f>
        <v/>
      </c>
      <c r="B13" s="41"/>
      <c r="C13" s="42"/>
      <c r="D13" s="42"/>
      <c r="E13" s="42"/>
      <c r="F13" s="43"/>
      <c r="G13" s="40" t="str">
        <f aca="true">IF(OR(F13="",E13="Done",E13="Cancelled"),"",F13-TODAY())</f>
        <v/>
      </c>
      <c r="H13" s="44" t="str">
        <f aca="false">IF(G13="","",IF(G13&lt;0,"OVERDUE",IF(G13=0,"DUE TODAY",IF(G13&lt;=3,"DUE SOON",""))))</f>
        <v/>
      </c>
      <c r="I13" s="43"/>
      <c r="J13" s="43"/>
      <c r="K13" s="41"/>
      <c r="L13" s="41"/>
      <c r="M13" s="41"/>
    </row>
    <row r="14" customFormat="false" ht="18" hidden="false" customHeight="true" outlineLevel="0" collapsed="false">
      <c r="A14" s="40" t="str">
        <f aca="false">IF(B14="","",ROW()-4)</f>
        <v/>
      </c>
      <c r="B14" s="41"/>
      <c r="C14" s="42"/>
      <c r="D14" s="42"/>
      <c r="E14" s="42"/>
      <c r="F14" s="43"/>
      <c r="G14" s="40" t="str">
        <f aca="true">IF(OR(F14="",E14="Done",E14="Cancelled"),"",F14-TODAY())</f>
        <v/>
      </c>
      <c r="H14" s="44" t="str">
        <f aca="false">IF(G14="","",IF(G14&lt;0,"OVERDUE",IF(G14=0,"DUE TODAY",IF(G14&lt;=3,"DUE SOON",""))))</f>
        <v/>
      </c>
      <c r="I14" s="43"/>
      <c r="J14" s="43"/>
      <c r="K14" s="41"/>
      <c r="L14" s="41"/>
      <c r="M14" s="41"/>
    </row>
    <row r="15" customFormat="false" ht="18" hidden="false" customHeight="true" outlineLevel="0" collapsed="false">
      <c r="A15" s="40" t="str">
        <f aca="false">IF(B15="","",ROW()-4)</f>
        <v/>
      </c>
      <c r="B15" s="41"/>
      <c r="C15" s="42"/>
      <c r="D15" s="42"/>
      <c r="E15" s="42"/>
      <c r="F15" s="43"/>
      <c r="G15" s="40" t="str">
        <f aca="true">IF(OR(F15="",E15="Done",E15="Cancelled"),"",F15-TODAY())</f>
        <v/>
      </c>
      <c r="H15" s="44" t="str">
        <f aca="false">IF(G15="","",IF(G15&lt;0,"OVERDUE",IF(G15=0,"DUE TODAY",IF(G15&lt;=3,"DUE SOON",""))))</f>
        <v/>
      </c>
      <c r="I15" s="43"/>
      <c r="J15" s="43"/>
      <c r="K15" s="41"/>
      <c r="L15" s="41"/>
      <c r="M15" s="41"/>
    </row>
    <row r="16" customFormat="false" ht="18" hidden="false" customHeight="true" outlineLevel="0" collapsed="false">
      <c r="A16" s="40" t="str">
        <f aca="false">IF(B16="","",ROW()-4)</f>
        <v/>
      </c>
      <c r="B16" s="41"/>
      <c r="C16" s="42"/>
      <c r="D16" s="42"/>
      <c r="E16" s="42"/>
      <c r="F16" s="43"/>
      <c r="G16" s="40" t="str">
        <f aca="true">IF(OR(F16="",E16="Done",E16="Cancelled"),"",F16-TODAY())</f>
        <v/>
      </c>
      <c r="H16" s="44" t="str">
        <f aca="false">IF(G16="","",IF(G16&lt;0,"OVERDUE",IF(G16=0,"DUE TODAY",IF(G16&lt;=3,"DUE SOON",""))))</f>
        <v/>
      </c>
      <c r="I16" s="43"/>
      <c r="J16" s="43"/>
      <c r="K16" s="41"/>
      <c r="L16" s="41"/>
      <c r="M16" s="41"/>
    </row>
    <row r="17" customFormat="false" ht="18" hidden="false" customHeight="true" outlineLevel="0" collapsed="false">
      <c r="A17" s="40" t="str">
        <f aca="false">IF(B17="","",ROW()-4)</f>
        <v/>
      </c>
      <c r="B17" s="41"/>
      <c r="C17" s="42"/>
      <c r="D17" s="42"/>
      <c r="E17" s="42"/>
      <c r="F17" s="43"/>
      <c r="G17" s="40" t="str">
        <f aca="true">IF(OR(F17="",E17="Done",E17="Cancelled"),"",F17-TODAY())</f>
        <v/>
      </c>
      <c r="H17" s="44" t="str">
        <f aca="false">IF(G17="","",IF(G17&lt;0,"OVERDUE",IF(G17=0,"DUE TODAY",IF(G17&lt;=3,"DUE SOON",""))))</f>
        <v/>
      </c>
      <c r="I17" s="43"/>
      <c r="J17" s="43"/>
      <c r="K17" s="41"/>
      <c r="L17" s="41"/>
      <c r="M17" s="41"/>
    </row>
    <row r="18" customFormat="false" ht="18" hidden="false" customHeight="true" outlineLevel="0" collapsed="false">
      <c r="A18" s="40" t="str">
        <f aca="false">IF(B18="","",ROW()-4)</f>
        <v/>
      </c>
      <c r="B18" s="41"/>
      <c r="C18" s="42"/>
      <c r="D18" s="42"/>
      <c r="E18" s="42"/>
      <c r="F18" s="43"/>
      <c r="G18" s="40" t="str">
        <f aca="true">IF(OR(F18="",E18="Done",E18="Cancelled"),"",F18-TODAY())</f>
        <v/>
      </c>
      <c r="H18" s="44" t="str">
        <f aca="false">IF(G18="","",IF(G18&lt;0,"OVERDUE",IF(G18=0,"DUE TODAY",IF(G18&lt;=3,"DUE SOON",""))))</f>
        <v/>
      </c>
      <c r="I18" s="43"/>
      <c r="J18" s="43"/>
      <c r="K18" s="41"/>
      <c r="L18" s="41"/>
      <c r="M18" s="41"/>
    </row>
    <row r="19" customFormat="false" ht="18" hidden="false" customHeight="true" outlineLevel="0" collapsed="false">
      <c r="A19" s="40" t="str">
        <f aca="false">IF(B19="","",ROW()-4)</f>
        <v/>
      </c>
      <c r="B19" s="41"/>
      <c r="C19" s="42"/>
      <c r="D19" s="42"/>
      <c r="E19" s="42"/>
      <c r="F19" s="43"/>
      <c r="G19" s="40" t="str">
        <f aca="true">IF(OR(F19="",E19="Done",E19="Cancelled"),"",F19-TODAY())</f>
        <v/>
      </c>
      <c r="H19" s="44" t="str">
        <f aca="false">IF(G19="","",IF(G19&lt;0,"OVERDUE",IF(G19=0,"DUE TODAY",IF(G19&lt;=3,"DUE SOON",""))))</f>
        <v/>
      </c>
      <c r="I19" s="43"/>
      <c r="J19" s="43"/>
      <c r="K19" s="41"/>
      <c r="L19" s="41"/>
      <c r="M19" s="41"/>
    </row>
    <row r="20" customFormat="false" ht="18" hidden="false" customHeight="true" outlineLevel="0" collapsed="false">
      <c r="A20" s="40" t="str">
        <f aca="false">IF(B20="","",ROW()-4)</f>
        <v/>
      </c>
      <c r="B20" s="41"/>
      <c r="C20" s="42"/>
      <c r="D20" s="42"/>
      <c r="E20" s="42"/>
      <c r="F20" s="43"/>
      <c r="G20" s="40" t="str">
        <f aca="true">IF(OR(F20="",E20="Done",E20="Cancelled"),"",F20-TODAY())</f>
        <v/>
      </c>
      <c r="H20" s="44" t="str">
        <f aca="false">IF(G20="","",IF(G20&lt;0,"OVERDUE",IF(G20=0,"DUE TODAY",IF(G20&lt;=3,"DUE SOON",""))))</f>
        <v/>
      </c>
      <c r="I20" s="43"/>
      <c r="J20" s="43"/>
      <c r="K20" s="41"/>
      <c r="L20" s="41"/>
      <c r="M20" s="41"/>
    </row>
    <row r="21" customFormat="false" ht="18" hidden="false" customHeight="true" outlineLevel="0" collapsed="false">
      <c r="A21" s="40" t="str">
        <f aca="false">IF(B21="","",ROW()-4)</f>
        <v/>
      </c>
      <c r="B21" s="41"/>
      <c r="C21" s="42"/>
      <c r="D21" s="42"/>
      <c r="E21" s="42"/>
      <c r="F21" s="43"/>
      <c r="G21" s="40" t="str">
        <f aca="true">IF(OR(F21="",E21="Done",E21="Cancelled"),"",F21-TODAY())</f>
        <v/>
      </c>
      <c r="H21" s="44" t="str">
        <f aca="false">IF(G21="","",IF(G21&lt;0,"OVERDUE",IF(G21=0,"DUE TODAY",IF(G21&lt;=3,"DUE SOON",""))))</f>
        <v/>
      </c>
      <c r="I21" s="43"/>
      <c r="J21" s="43"/>
      <c r="K21" s="41"/>
      <c r="L21" s="41"/>
      <c r="M21" s="41"/>
    </row>
    <row r="22" customFormat="false" ht="18" hidden="false" customHeight="true" outlineLevel="0" collapsed="false">
      <c r="A22" s="40" t="str">
        <f aca="false">IF(B22="","",ROW()-4)</f>
        <v/>
      </c>
      <c r="B22" s="41"/>
      <c r="C22" s="42"/>
      <c r="D22" s="42"/>
      <c r="E22" s="42"/>
      <c r="F22" s="43"/>
      <c r="G22" s="40" t="str">
        <f aca="true">IF(OR(F22="",E22="Done",E22="Cancelled"),"",F22-TODAY())</f>
        <v/>
      </c>
      <c r="H22" s="44" t="str">
        <f aca="false">IF(G22="","",IF(G22&lt;0,"OVERDUE",IF(G22=0,"DUE TODAY",IF(G22&lt;=3,"DUE SOON",""))))</f>
        <v/>
      </c>
      <c r="I22" s="43"/>
      <c r="J22" s="43"/>
      <c r="K22" s="41"/>
      <c r="L22" s="41"/>
      <c r="M22" s="41"/>
    </row>
    <row r="23" customFormat="false" ht="18" hidden="false" customHeight="true" outlineLevel="0" collapsed="false">
      <c r="A23" s="40" t="str">
        <f aca="false">IF(B23="","",ROW()-4)</f>
        <v/>
      </c>
      <c r="B23" s="41"/>
      <c r="C23" s="42"/>
      <c r="D23" s="42"/>
      <c r="E23" s="42"/>
      <c r="F23" s="43"/>
      <c r="G23" s="40" t="str">
        <f aca="true">IF(OR(F23="",E23="Done",E23="Cancelled"),"",F23-TODAY())</f>
        <v/>
      </c>
      <c r="H23" s="44" t="str">
        <f aca="false">IF(G23="","",IF(G23&lt;0,"OVERDUE",IF(G23=0,"DUE TODAY",IF(G23&lt;=3,"DUE SOON",""))))</f>
        <v/>
      </c>
      <c r="I23" s="43"/>
      <c r="J23" s="43"/>
      <c r="K23" s="41"/>
      <c r="L23" s="41"/>
      <c r="M23" s="41"/>
    </row>
    <row r="24" customFormat="false" ht="18" hidden="false" customHeight="true" outlineLevel="0" collapsed="false">
      <c r="A24" s="40" t="str">
        <f aca="false">IF(B24="","",ROW()-4)</f>
        <v/>
      </c>
      <c r="B24" s="41"/>
      <c r="C24" s="42"/>
      <c r="D24" s="42"/>
      <c r="E24" s="42"/>
      <c r="F24" s="43"/>
      <c r="G24" s="40" t="str">
        <f aca="true">IF(OR(F24="",E24="Done",E24="Cancelled"),"",F24-TODAY())</f>
        <v/>
      </c>
      <c r="H24" s="44" t="str">
        <f aca="false">IF(G24="","",IF(G24&lt;0,"OVERDUE",IF(G24=0,"DUE TODAY",IF(G24&lt;=3,"DUE SOON",""))))</f>
        <v/>
      </c>
      <c r="I24" s="43"/>
      <c r="J24" s="43"/>
      <c r="K24" s="41"/>
      <c r="L24" s="41"/>
      <c r="M24" s="41"/>
    </row>
    <row r="25" customFormat="false" ht="18" hidden="false" customHeight="true" outlineLevel="0" collapsed="false">
      <c r="A25" s="40" t="str">
        <f aca="false">IF(B25="","",ROW()-4)</f>
        <v/>
      </c>
      <c r="B25" s="41"/>
      <c r="C25" s="42"/>
      <c r="D25" s="42"/>
      <c r="E25" s="42"/>
      <c r="F25" s="43"/>
      <c r="G25" s="40" t="str">
        <f aca="true">IF(OR(F25="",E25="Done",E25="Cancelled"),"",F25-TODAY())</f>
        <v/>
      </c>
      <c r="H25" s="44" t="str">
        <f aca="false">IF(G25="","",IF(G25&lt;0,"OVERDUE",IF(G25=0,"DUE TODAY",IF(G25&lt;=3,"DUE SOON",""))))</f>
        <v/>
      </c>
      <c r="I25" s="43"/>
      <c r="J25" s="43"/>
      <c r="K25" s="41"/>
      <c r="L25" s="41"/>
      <c r="M25" s="41"/>
    </row>
    <row r="26" customFormat="false" ht="18" hidden="false" customHeight="true" outlineLevel="0" collapsed="false">
      <c r="A26" s="40" t="str">
        <f aca="false">IF(B26="","",ROW()-4)</f>
        <v/>
      </c>
      <c r="B26" s="41"/>
      <c r="C26" s="42"/>
      <c r="D26" s="42"/>
      <c r="E26" s="42"/>
      <c r="F26" s="43"/>
      <c r="G26" s="40" t="str">
        <f aca="true">IF(OR(F26="",E26="Done",E26="Cancelled"),"",F26-TODAY())</f>
        <v/>
      </c>
      <c r="H26" s="44" t="str">
        <f aca="false">IF(G26="","",IF(G26&lt;0,"OVERDUE",IF(G26=0,"DUE TODAY",IF(G26&lt;=3,"DUE SOON",""))))</f>
        <v/>
      </c>
      <c r="I26" s="43"/>
      <c r="J26" s="43"/>
      <c r="K26" s="41"/>
      <c r="L26" s="41"/>
      <c r="M26" s="41"/>
    </row>
    <row r="27" customFormat="false" ht="18" hidden="false" customHeight="true" outlineLevel="0" collapsed="false">
      <c r="A27" s="40" t="str">
        <f aca="false">IF(B27="","",ROW()-4)</f>
        <v/>
      </c>
      <c r="B27" s="41"/>
      <c r="C27" s="42"/>
      <c r="D27" s="42"/>
      <c r="E27" s="42"/>
      <c r="F27" s="43"/>
      <c r="G27" s="40" t="str">
        <f aca="true">IF(OR(F27="",E27="Done",E27="Cancelled"),"",F27-TODAY())</f>
        <v/>
      </c>
      <c r="H27" s="44" t="str">
        <f aca="false">IF(G27="","",IF(G27&lt;0,"OVERDUE",IF(G27=0,"DUE TODAY",IF(G27&lt;=3,"DUE SOON",""))))</f>
        <v/>
      </c>
      <c r="I27" s="43"/>
      <c r="J27" s="43"/>
      <c r="K27" s="41"/>
      <c r="L27" s="41"/>
      <c r="M27" s="41"/>
    </row>
    <row r="28" customFormat="false" ht="18" hidden="false" customHeight="true" outlineLevel="0" collapsed="false">
      <c r="A28" s="40" t="str">
        <f aca="false">IF(B28="","",ROW()-4)</f>
        <v/>
      </c>
      <c r="B28" s="41"/>
      <c r="C28" s="42"/>
      <c r="D28" s="42"/>
      <c r="E28" s="42"/>
      <c r="F28" s="43"/>
      <c r="G28" s="40" t="str">
        <f aca="true">IF(OR(F28="",E28="Done",E28="Cancelled"),"",F28-TODAY())</f>
        <v/>
      </c>
      <c r="H28" s="44" t="str">
        <f aca="false">IF(G28="","",IF(G28&lt;0,"OVERDUE",IF(G28=0,"DUE TODAY",IF(G28&lt;=3,"DUE SOON",""))))</f>
        <v/>
      </c>
      <c r="I28" s="43"/>
      <c r="J28" s="43"/>
      <c r="K28" s="41"/>
      <c r="L28" s="41"/>
      <c r="M28" s="41"/>
    </row>
    <row r="29" customFormat="false" ht="18" hidden="false" customHeight="true" outlineLevel="0" collapsed="false">
      <c r="A29" s="40" t="str">
        <f aca="false">IF(B29="","",ROW()-4)</f>
        <v/>
      </c>
      <c r="B29" s="41"/>
      <c r="C29" s="42"/>
      <c r="D29" s="42"/>
      <c r="E29" s="42"/>
      <c r="F29" s="43"/>
      <c r="G29" s="40" t="str">
        <f aca="true">IF(OR(F29="",E29="Done",E29="Cancelled"),"",F29-TODAY())</f>
        <v/>
      </c>
      <c r="H29" s="44" t="str">
        <f aca="false">IF(G29="","",IF(G29&lt;0,"OVERDUE",IF(G29=0,"DUE TODAY",IF(G29&lt;=3,"DUE SOON",""))))</f>
        <v/>
      </c>
      <c r="I29" s="43"/>
      <c r="J29" s="43"/>
      <c r="K29" s="41"/>
      <c r="L29" s="41"/>
      <c r="M29" s="41"/>
    </row>
    <row r="30" customFormat="false" ht="18" hidden="false" customHeight="true" outlineLevel="0" collapsed="false">
      <c r="A30" s="40" t="str">
        <f aca="false">IF(B30="","",ROW()-4)</f>
        <v/>
      </c>
      <c r="B30" s="41"/>
      <c r="C30" s="42"/>
      <c r="D30" s="42"/>
      <c r="E30" s="42"/>
      <c r="F30" s="43"/>
      <c r="G30" s="40" t="str">
        <f aca="true">IF(OR(F30="",E30="Done",E30="Cancelled"),"",F30-TODAY())</f>
        <v/>
      </c>
      <c r="H30" s="44" t="str">
        <f aca="false">IF(G30="","",IF(G30&lt;0,"OVERDUE",IF(G30=0,"DUE TODAY",IF(G30&lt;=3,"DUE SOON",""))))</f>
        <v/>
      </c>
      <c r="I30" s="43"/>
      <c r="J30" s="43"/>
      <c r="K30" s="41"/>
      <c r="L30" s="41"/>
      <c r="M30" s="41"/>
    </row>
    <row r="31" customFormat="false" ht="18" hidden="false" customHeight="true" outlineLevel="0" collapsed="false">
      <c r="A31" s="40" t="str">
        <f aca="false">IF(B31="","",ROW()-4)</f>
        <v/>
      </c>
      <c r="B31" s="41"/>
      <c r="C31" s="42"/>
      <c r="D31" s="42"/>
      <c r="E31" s="42"/>
      <c r="F31" s="43"/>
      <c r="G31" s="40" t="str">
        <f aca="true">IF(OR(F31="",E31="Done",E31="Cancelled"),"",F31-TODAY())</f>
        <v/>
      </c>
      <c r="H31" s="44" t="str">
        <f aca="false">IF(G31="","",IF(G31&lt;0,"OVERDUE",IF(G31=0,"DUE TODAY",IF(G31&lt;=3,"DUE SOON",""))))</f>
        <v/>
      </c>
      <c r="I31" s="43"/>
      <c r="J31" s="43"/>
      <c r="K31" s="41"/>
      <c r="L31" s="41"/>
      <c r="M31" s="41"/>
    </row>
    <row r="32" customFormat="false" ht="18" hidden="false" customHeight="true" outlineLevel="0" collapsed="false">
      <c r="A32" s="40" t="str">
        <f aca="false">IF(B32="","",ROW()-4)</f>
        <v/>
      </c>
      <c r="B32" s="41"/>
      <c r="C32" s="42"/>
      <c r="D32" s="42"/>
      <c r="E32" s="42"/>
      <c r="F32" s="43"/>
      <c r="G32" s="40" t="str">
        <f aca="true">IF(OR(F32="",E32="Done",E32="Cancelled"),"",F32-TODAY())</f>
        <v/>
      </c>
      <c r="H32" s="44" t="str">
        <f aca="false">IF(G32="","",IF(G32&lt;0,"OVERDUE",IF(G32=0,"DUE TODAY",IF(G32&lt;=3,"DUE SOON",""))))</f>
        <v/>
      </c>
      <c r="I32" s="43"/>
      <c r="J32" s="43"/>
      <c r="K32" s="41"/>
      <c r="L32" s="41"/>
      <c r="M32" s="41"/>
    </row>
    <row r="33" customFormat="false" ht="18" hidden="false" customHeight="true" outlineLevel="0" collapsed="false">
      <c r="A33" s="40" t="str">
        <f aca="false">IF(B33="","",ROW()-4)</f>
        <v/>
      </c>
      <c r="B33" s="41"/>
      <c r="C33" s="42"/>
      <c r="D33" s="42"/>
      <c r="E33" s="42"/>
      <c r="F33" s="43"/>
      <c r="G33" s="40" t="str">
        <f aca="true">IF(OR(F33="",E33="Done",E33="Cancelled"),"",F33-TODAY())</f>
        <v/>
      </c>
      <c r="H33" s="44" t="str">
        <f aca="false">IF(G33="","",IF(G33&lt;0,"OVERDUE",IF(G33=0,"DUE TODAY",IF(G33&lt;=3,"DUE SOON",""))))</f>
        <v/>
      </c>
      <c r="I33" s="43"/>
      <c r="J33" s="43"/>
      <c r="K33" s="41"/>
      <c r="L33" s="41"/>
      <c r="M33" s="41"/>
    </row>
    <row r="34" customFormat="false" ht="18" hidden="false" customHeight="true" outlineLevel="0" collapsed="false">
      <c r="A34" s="40" t="str">
        <f aca="false">IF(B34="","",ROW()-4)</f>
        <v/>
      </c>
      <c r="B34" s="41"/>
      <c r="C34" s="42"/>
      <c r="D34" s="42"/>
      <c r="E34" s="42"/>
      <c r="F34" s="43"/>
      <c r="G34" s="40" t="str">
        <f aca="true">IF(OR(F34="",E34="Done",E34="Cancelled"),"",F34-TODAY())</f>
        <v/>
      </c>
      <c r="H34" s="44" t="str">
        <f aca="false">IF(G34="","",IF(G34&lt;0,"OVERDUE",IF(G34=0,"DUE TODAY",IF(G34&lt;=3,"DUE SOON",""))))</f>
        <v/>
      </c>
      <c r="I34" s="43"/>
      <c r="J34" s="43"/>
      <c r="K34" s="41"/>
      <c r="L34" s="41"/>
      <c r="M34" s="41"/>
    </row>
    <row r="35" customFormat="false" ht="18" hidden="false" customHeight="true" outlineLevel="0" collapsed="false">
      <c r="A35" s="40" t="str">
        <f aca="false">IF(B35="","",ROW()-4)</f>
        <v/>
      </c>
      <c r="B35" s="41"/>
      <c r="C35" s="42"/>
      <c r="D35" s="42"/>
      <c r="E35" s="42"/>
      <c r="F35" s="43"/>
      <c r="G35" s="40" t="str">
        <f aca="true">IF(OR(F35="",E35="Done",E35="Cancelled"),"",F35-TODAY())</f>
        <v/>
      </c>
      <c r="H35" s="44" t="str">
        <f aca="false">IF(G35="","",IF(G35&lt;0,"OVERDUE",IF(G35=0,"DUE TODAY",IF(G35&lt;=3,"DUE SOON",""))))</f>
        <v/>
      </c>
      <c r="I35" s="43"/>
      <c r="J35" s="43"/>
      <c r="K35" s="41"/>
      <c r="L35" s="41"/>
      <c r="M35" s="41"/>
    </row>
    <row r="36" customFormat="false" ht="18" hidden="false" customHeight="true" outlineLevel="0" collapsed="false">
      <c r="A36" s="40" t="str">
        <f aca="false">IF(B36="","",ROW()-4)</f>
        <v/>
      </c>
      <c r="B36" s="41"/>
      <c r="C36" s="42"/>
      <c r="D36" s="42"/>
      <c r="E36" s="42"/>
      <c r="F36" s="43"/>
      <c r="G36" s="40" t="str">
        <f aca="true">IF(OR(F36="",E36="Done",E36="Cancelled"),"",F36-TODAY())</f>
        <v/>
      </c>
      <c r="H36" s="44" t="str">
        <f aca="false">IF(G36="","",IF(G36&lt;0,"OVERDUE",IF(G36=0,"DUE TODAY",IF(G36&lt;=3,"DUE SOON",""))))</f>
        <v/>
      </c>
      <c r="I36" s="43"/>
      <c r="J36" s="43"/>
      <c r="K36" s="41"/>
      <c r="L36" s="41"/>
      <c r="M36" s="41"/>
    </row>
    <row r="37" customFormat="false" ht="18" hidden="false" customHeight="true" outlineLevel="0" collapsed="false">
      <c r="A37" s="40" t="str">
        <f aca="false">IF(B37="","",ROW()-4)</f>
        <v/>
      </c>
      <c r="B37" s="41"/>
      <c r="C37" s="42"/>
      <c r="D37" s="42"/>
      <c r="E37" s="42"/>
      <c r="F37" s="43"/>
      <c r="G37" s="40" t="str">
        <f aca="true">IF(OR(F37="",E37="Done",E37="Cancelled"),"",F37-TODAY())</f>
        <v/>
      </c>
      <c r="H37" s="44" t="str">
        <f aca="false">IF(G37="","",IF(G37&lt;0,"OVERDUE",IF(G37=0,"DUE TODAY",IF(G37&lt;=3,"DUE SOON",""))))</f>
        <v/>
      </c>
      <c r="I37" s="43"/>
      <c r="J37" s="43"/>
      <c r="K37" s="41"/>
      <c r="L37" s="41"/>
      <c r="M37" s="41"/>
    </row>
    <row r="38" customFormat="false" ht="18" hidden="false" customHeight="true" outlineLevel="0" collapsed="false">
      <c r="A38" s="40" t="str">
        <f aca="false">IF(B38="","",ROW()-4)</f>
        <v/>
      </c>
      <c r="B38" s="41"/>
      <c r="C38" s="42"/>
      <c r="D38" s="42"/>
      <c r="E38" s="42"/>
      <c r="F38" s="43"/>
      <c r="G38" s="40" t="str">
        <f aca="true">IF(OR(F38="",E38="Done",E38="Cancelled"),"",F38-TODAY())</f>
        <v/>
      </c>
      <c r="H38" s="44" t="str">
        <f aca="false">IF(G38="","",IF(G38&lt;0,"OVERDUE",IF(G38=0,"DUE TODAY",IF(G38&lt;=3,"DUE SOON",""))))</f>
        <v/>
      </c>
      <c r="I38" s="43"/>
      <c r="J38" s="43"/>
      <c r="K38" s="41"/>
      <c r="L38" s="41"/>
      <c r="M38" s="41"/>
    </row>
    <row r="39" customFormat="false" ht="18" hidden="false" customHeight="true" outlineLevel="0" collapsed="false">
      <c r="A39" s="40" t="str">
        <f aca="false">IF(B39="","",ROW()-4)</f>
        <v/>
      </c>
      <c r="B39" s="41"/>
      <c r="C39" s="42"/>
      <c r="D39" s="42"/>
      <c r="E39" s="42"/>
      <c r="F39" s="43"/>
      <c r="G39" s="40" t="str">
        <f aca="true">IF(OR(F39="",E39="Done",E39="Cancelled"),"",F39-TODAY())</f>
        <v/>
      </c>
      <c r="H39" s="44" t="str">
        <f aca="false">IF(G39="","",IF(G39&lt;0,"OVERDUE",IF(G39=0,"DUE TODAY",IF(G39&lt;=3,"DUE SOON",""))))</f>
        <v/>
      </c>
      <c r="I39" s="43"/>
      <c r="J39" s="43"/>
      <c r="K39" s="41"/>
      <c r="L39" s="41"/>
      <c r="M39" s="41"/>
    </row>
    <row r="40" customFormat="false" ht="18" hidden="false" customHeight="true" outlineLevel="0" collapsed="false">
      <c r="A40" s="40" t="str">
        <f aca="false">IF(B40="","",ROW()-4)</f>
        <v/>
      </c>
      <c r="B40" s="41"/>
      <c r="C40" s="42"/>
      <c r="D40" s="42"/>
      <c r="E40" s="42"/>
      <c r="F40" s="43"/>
      <c r="G40" s="40" t="str">
        <f aca="true">IF(OR(F40="",E40="Done",E40="Cancelled"),"",F40-TODAY())</f>
        <v/>
      </c>
      <c r="H40" s="44" t="str">
        <f aca="false">IF(G40="","",IF(G40&lt;0,"OVERDUE",IF(G40=0,"DUE TODAY",IF(G40&lt;=3,"DUE SOON",""))))</f>
        <v/>
      </c>
      <c r="I40" s="43"/>
      <c r="J40" s="43"/>
      <c r="K40" s="41"/>
      <c r="L40" s="41"/>
      <c r="M40" s="41"/>
    </row>
    <row r="41" customFormat="false" ht="18" hidden="false" customHeight="true" outlineLevel="0" collapsed="false">
      <c r="A41" s="40" t="str">
        <f aca="false">IF(B41="","",ROW()-4)</f>
        <v/>
      </c>
      <c r="B41" s="41"/>
      <c r="C41" s="42"/>
      <c r="D41" s="42"/>
      <c r="E41" s="42"/>
      <c r="F41" s="43"/>
      <c r="G41" s="40" t="str">
        <f aca="true">IF(OR(F41="",E41="Done",E41="Cancelled"),"",F41-TODAY())</f>
        <v/>
      </c>
      <c r="H41" s="44" t="str">
        <f aca="false">IF(G41="","",IF(G41&lt;0,"OVERDUE",IF(G41=0,"DUE TODAY",IF(G41&lt;=3,"DUE SOON",""))))</f>
        <v/>
      </c>
      <c r="I41" s="43"/>
      <c r="J41" s="43"/>
      <c r="K41" s="41"/>
      <c r="L41" s="41"/>
      <c r="M41" s="41"/>
    </row>
    <row r="42" customFormat="false" ht="18" hidden="false" customHeight="true" outlineLevel="0" collapsed="false">
      <c r="A42" s="40" t="str">
        <f aca="false">IF(B42="","",ROW()-4)</f>
        <v/>
      </c>
      <c r="B42" s="41"/>
      <c r="C42" s="42"/>
      <c r="D42" s="42"/>
      <c r="E42" s="42"/>
      <c r="F42" s="43"/>
      <c r="G42" s="40" t="str">
        <f aca="true">IF(OR(F42="",E42="Done",E42="Cancelled"),"",F42-TODAY())</f>
        <v/>
      </c>
      <c r="H42" s="44" t="str">
        <f aca="false">IF(G42="","",IF(G42&lt;0,"OVERDUE",IF(G42=0,"DUE TODAY",IF(G42&lt;=3,"DUE SOON",""))))</f>
        <v/>
      </c>
      <c r="I42" s="43"/>
      <c r="J42" s="43"/>
      <c r="K42" s="41"/>
      <c r="L42" s="41"/>
      <c r="M42" s="41"/>
    </row>
    <row r="43" customFormat="false" ht="18" hidden="false" customHeight="true" outlineLevel="0" collapsed="false">
      <c r="A43" s="40" t="str">
        <f aca="false">IF(B43="","",ROW()-4)</f>
        <v/>
      </c>
      <c r="B43" s="41"/>
      <c r="C43" s="42"/>
      <c r="D43" s="42"/>
      <c r="E43" s="42"/>
      <c r="F43" s="43"/>
      <c r="G43" s="40" t="str">
        <f aca="true">IF(OR(F43="",E43="Done",E43="Cancelled"),"",F43-TODAY())</f>
        <v/>
      </c>
      <c r="H43" s="44" t="str">
        <f aca="false">IF(G43="","",IF(G43&lt;0,"OVERDUE",IF(G43=0,"DUE TODAY",IF(G43&lt;=3,"DUE SOON",""))))</f>
        <v/>
      </c>
      <c r="I43" s="43"/>
      <c r="J43" s="43"/>
      <c r="K43" s="41"/>
      <c r="L43" s="41"/>
      <c r="M43" s="41"/>
    </row>
    <row r="44" customFormat="false" ht="18" hidden="false" customHeight="true" outlineLevel="0" collapsed="false">
      <c r="A44" s="40" t="str">
        <f aca="false">IF(B44="","",ROW()-4)</f>
        <v/>
      </c>
      <c r="B44" s="41"/>
      <c r="C44" s="42"/>
      <c r="D44" s="42"/>
      <c r="E44" s="42"/>
      <c r="F44" s="43"/>
      <c r="G44" s="40" t="str">
        <f aca="true">IF(OR(F44="",E44="Done",E44="Cancelled"),"",F44-TODAY())</f>
        <v/>
      </c>
      <c r="H44" s="44" t="str">
        <f aca="false">IF(G44="","",IF(G44&lt;0,"OVERDUE",IF(G44=0,"DUE TODAY",IF(G44&lt;=3,"DUE SOON",""))))</f>
        <v/>
      </c>
      <c r="I44" s="43"/>
      <c r="J44" s="43"/>
      <c r="K44" s="41"/>
      <c r="L44" s="41"/>
      <c r="M44" s="41"/>
    </row>
    <row r="45" customFormat="false" ht="18" hidden="false" customHeight="true" outlineLevel="0" collapsed="false">
      <c r="A45" s="40" t="str">
        <f aca="false">IF(B45="","",ROW()-4)</f>
        <v/>
      </c>
      <c r="B45" s="41"/>
      <c r="C45" s="42"/>
      <c r="D45" s="42"/>
      <c r="E45" s="42"/>
      <c r="F45" s="43"/>
      <c r="G45" s="40" t="str">
        <f aca="true">IF(OR(F45="",E45="Done",E45="Cancelled"),"",F45-TODAY())</f>
        <v/>
      </c>
      <c r="H45" s="44" t="str">
        <f aca="false">IF(G45="","",IF(G45&lt;0,"OVERDUE",IF(G45=0,"DUE TODAY",IF(G45&lt;=3,"DUE SOON",""))))</f>
        <v/>
      </c>
      <c r="I45" s="43"/>
      <c r="J45" s="43"/>
      <c r="K45" s="41"/>
      <c r="L45" s="41"/>
      <c r="M45" s="41"/>
    </row>
    <row r="46" customFormat="false" ht="18" hidden="false" customHeight="true" outlineLevel="0" collapsed="false">
      <c r="A46" s="40" t="str">
        <f aca="false">IF(B46="","",ROW()-4)</f>
        <v/>
      </c>
      <c r="B46" s="41"/>
      <c r="C46" s="42"/>
      <c r="D46" s="42"/>
      <c r="E46" s="42"/>
      <c r="F46" s="43"/>
      <c r="G46" s="40" t="str">
        <f aca="true">IF(OR(F46="",E46="Done",E46="Cancelled"),"",F46-TODAY())</f>
        <v/>
      </c>
      <c r="H46" s="44" t="str">
        <f aca="false">IF(G46="","",IF(G46&lt;0,"OVERDUE",IF(G46=0,"DUE TODAY",IF(G46&lt;=3,"DUE SOON",""))))</f>
        <v/>
      </c>
      <c r="I46" s="43"/>
      <c r="J46" s="43"/>
      <c r="K46" s="41"/>
      <c r="L46" s="41"/>
      <c r="M46" s="41"/>
    </row>
    <row r="47" customFormat="false" ht="18" hidden="false" customHeight="true" outlineLevel="0" collapsed="false">
      <c r="A47" s="40" t="str">
        <f aca="false">IF(B47="","",ROW()-4)</f>
        <v/>
      </c>
      <c r="B47" s="41"/>
      <c r="C47" s="42"/>
      <c r="D47" s="42"/>
      <c r="E47" s="42"/>
      <c r="F47" s="43"/>
      <c r="G47" s="40" t="str">
        <f aca="true">IF(OR(F47="",E47="Done",E47="Cancelled"),"",F47-TODAY())</f>
        <v/>
      </c>
      <c r="H47" s="44" t="str">
        <f aca="false">IF(G47="","",IF(G47&lt;0,"OVERDUE",IF(G47=0,"DUE TODAY",IF(G47&lt;=3,"DUE SOON",""))))</f>
        <v/>
      </c>
      <c r="I47" s="43"/>
      <c r="J47" s="43"/>
      <c r="K47" s="41"/>
      <c r="L47" s="41"/>
      <c r="M47" s="41"/>
    </row>
    <row r="48" customFormat="false" ht="18" hidden="false" customHeight="true" outlineLevel="0" collapsed="false">
      <c r="A48" s="40" t="str">
        <f aca="false">IF(B48="","",ROW()-4)</f>
        <v/>
      </c>
      <c r="B48" s="41"/>
      <c r="C48" s="42"/>
      <c r="D48" s="42"/>
      <c r="E48" s="42"/>
      <c r="F48" s="43"/>
      <c r="G48" s="40" t="str">
        <f aca="true">IF(OR(F48="",E48="Done",E48="Cancelled"),"",F48-TODAY())</f>
        <v/>
      </c>
      <c r="H48" s="44" t="str">
        <f aca="false">IF(G48="","",IF(G48&lt;0,"OVERDUE",IF(G48=0,"DUE TODAY",IF(G48&lt;=3,"DUE SOON",""))))</f>
        <v/>
      </c>
      <c r="I48" s="43"/>
      <c r="J48" s="43"/>
      <c r="K48" s="41"/>
      <c r="L48" s="41"/>
      <c r="M48" s="41"/>
    </row>
    <row r="49" customFormat="false" ht="18" hidden="false" customHeight="true" outlineLevel="0" collapsed="false">
      <c r="A49" s="40" t="str">
        <f aca="false">IF(B49="","",ROW()-4)</f>
        <v/>
      </c>
      <c r="B49" s="41"/>
      <c r="C49" s="42"/>
      <c r="D49" s="42"/>
      <c r="E49" s="42"/>
      <c r="F49" s="43"/>
      <c r="G49" s="40" t="str">
        <f aca="true">IF(OR(F49="",E49="Done",E49="Cancelled"),"",F49-TODAY())</f>
        <v/>
      </c>
      <c r="H49" s="44" t="str">
        <f aca="false">IF(G49="","",IF(G49&lt;0,"OVERDUE",IF(G49=0,"DUE TODAY",IF(G49&lt;=3,"DUE SOON",""))))</f>
        <v/>
      </c>
      <c r="I49" s="43"/>
      <c r="J49" s="43"/>
      <c r="K49" s="41"/>
      <c r="L49" s="41"/>
      <c r="M49" s="41"/>
    </row>
    <row r="50" customFormat="false" ht="18" hidden="false" customHeight="true" outlineLevel="0" collapsed="false">
      <c r="A50" s="40" t="str">
        <f aca="false">IF(B50="","",ROW()-4)</f>
        <v/>
      </c>
      <c r="B50" s="41"/>
      <c r="C50" s="42"/>
      <c r="D50" s="42"/>
      <c r="E50" s="42"/>
      <c r="F50" s="43"/>
      <c r="G50" s="40" t="str">
        <f aca="true">IF(OR(F50="",E50="Done",E50="Cancelled"),"",F50-TODAY())</f>
        <v/>
      </c>
      <c r="H50" s="44" t="str">
        <f aca="false">IF(G50="","",IF(G50&lt;0,"OVERDUE",IF(G50=0,"DUE TODAY",IF(G50&lt;=3,"DUE SOON",""))))</f>
        <v/>
      </c>
      <c r="I50" s="43"/>
      <c r="J50" s="43"/>
      <c r="K50" s="41"/>
      <c r="L50" s="41"/>
      <c r="M50" s="41"/>
    </row>
    <row r="51" customFormat="false" ht="18" hidden="false" customHeight="true" outlineLevel="0" collapsed="false">
      <c r="A51" s="40" t="str">
        <f aca="false">IF(B51="","",ROW()-4)</f>
        <v/>
      </c>
      <c r="B51" s="41"/>
      <c r="C51" s="42"/>
      <c r="D51" s="42"/>
      <c r="E51" s="42"/>
      <c r="F51" s="43"/>
      <c r="G51" s="40" t="str">
        <f aca="true">IF(OR(F51="",E51="Done",E51="Cancelled"),"",F51-TODAY())</f>
        <v/>
      </c>
      <c r="H51" s="44" t="str">
        <f aca="false">IF(G51="","",IF(G51&lt;0,"OVERDUE",IF(G51=0,"DUE TODAY",IF(G51&lt;=3,"DUE SOON",""))))</f>
        <v/>
      </c>
      <c r="I51" s="43"/>
      <c r="J51" s="43"/>
      <c r="K51" s="41"/>
      <c r="L51" s="41"/>
      <c r="M51" s="41"/>
    </row>
    <row r="52" customFormat="false" ht="18" hidden="false" customHeight="true" outlineLevel="0" collapsed="false">
      <c r="A52" s="40" t="str">
        <f aca="false">IF(B52="","",ROW()-4)</f>
        <v/>
      </c>
      <c r="B52" s="41"/>
      <c r="C52" s="42"/>
      <c r="D52" s="42"/>
      <c r="E52" s="42"/>
      <c r="F52" s="43"/>
      <c r="G52" s="40" t="str">
        <f aca="true">IF(OR(F52="",E52="Done",E52="Cancelled"),"",F52-TODAY())</f>
        <v/>
      </c>
      <c r="H52" s="44" t="str">
        <f aca="false">IF(G52="","",IF(G52&lt;0,"OVERDUE",IF(G52=0,"DUE TODAY",IF(G52&lt;=3,"DUE SOON",""))))</f>
        <v/>
      </c>
      <c r="I52" s="43"/>
      <c r="J52" s="43"/>
      <c r="K52" s="41"/>
      <c r="L52" s="41"/>
      <c r="M52" s="41"/>
    </row>
    <row r="53" customFormat="false" ht="18" hidden="false" customHeight="true" outlineLevel="0" collapsed="false">
      <c r="A53" s="40" t="str">
        <f aca="false">IF(B53="","",ROW()-4)</f>
        <v/>
      </c>
      <c r="B53" s="41"/>
      <c r="C53" s="42"/>
      <c r="D53" s="42"/>
      <c r="E53" s="42"/>
      <c r="F53" s="43"/>
      <c r="G53" s="40" t="str">
        <f aca="true">IF(OR(F53="",E53="Done",E53="Cancelled"),"",F53-TODAY())</f>
        <v/>
      </c>
      <c r="H53" s="44" t="str">
        <f aca="false">IF(G53="","",IF(G53&lt;0,"OVERDUE",IF(G53=0,"DUE TODAY",IF(G53&lt;=3,"DUE SOON",""))))</f>
        <v/>
      </c>
      <c r="I53" s="43"/>
      <c r="J53" s="43"/>
      <c r="K53" s="41"/>
      <c r="L53" s="41"/>
      <c r="M53" s="41"/>
    </row>
    <row r="54" customFormat="false" ht="18" hidden="false" customHeight="true" outlineLevel="0" collapsed="false">
      <c r="A54" s="40" t="str">
        <f aca="false">IF(B54="","",ROW()-4)</f>
        <v/>
      </c>
      <c r="B54" s="41"/>
      <c r="C54" s="42"/>
      <c r="D54" s="42"/>
      <c r="E54" s="42"/>
      <c r="F54" s="43"/>
      <c r="G54" s="40" t="str">
        <f aca="true">IF(OR(F54="",E54="Done",E54="Cancelled"),"",F54-TODAY())</f>
        <v/>
      </c>
      <c r="H54" s="44" t="str">
        <f aca="false">IF(G54="","",IF(G54&lt;0,"OVERDUE",IF(G54=0,"DUE TODAY",IF(G54&lt;=3,"DUE SOON",""))))</f>
        <v/>
      </c>
      <c r="I54" s="43"/>
      <c r="J54" s="43"/>
      <c r="K54" s="41"/>
      <c r="L54" s="41"/>
      <c r="M54" s="41"/>
    </row>
    <row r="55" customFormat="false" ht="18" hidden="false" customHeight="true" outlineLevel="0" collapsed="false">
      <c r="A55" s="40" t="str">
        <f aca="false">IF(B55="","",ROW()-4)</f>
        <v/>
      </c>
      <c r="B55" s="41"/>
      <c r="C55" s="42"/>
      <c r="D55" s="42"/>
      <c r="E55" s="42"/>
      <c r="F55" s="43"/>
      <c r="G55" s="40" t="str">
        <f aca="true">IF(OR(F55="",E55="Done",E55="Cancelled"),"",F55-TODAY())</f>
        <v/>
      </c>
      <c r="H55" s="44" t="str">
        <f aca="false">IF(G55="","",IF(G55&lt;0,"OVERDUE",IF(G55=0,"DUE TODAY",IF(G55&lt;=3,"DUE SOON",""))))</f>
        <v/>
      </c>
      <c r="I55" s="43"/>
      <c r="J55" s="43"/>
      <c r="K55" s="41"/>
      <c r="L55" s="41"/>
      <c r="M55" s="41"/>
    </row>
    <row r="56" customFormat="false" ht="18" hidden="false" customHeight="true" outlineLevel="0" collapsed="false">
      <c r="A56" s="40" t="str">
        <f aca="false">IF(B56="","",ROW()-4)</f>
        <v/>
      </c>
      <c r="B56" s="41"/>
      <c r="C56" s="42"/>
      <c r="D56" s="42"/>
      <c r="E56" s="42"/>
      <c r="F56" s="43"/>
      <c r="G56" s="40" t="str">
        <f aca="true">IF(OR(F56="",E56="Done",E56="Cancelled"),"",F56-TODAY())</f>
        <v/>
      </c>
      <c r="H56" s="44" t="str">
        <f aca="false">IF(G56="","",IF(G56&lt;0,"OVERDUE",IF(G56=0,"DUE TODAY",IF(G56&lt;=3,"DUE SOON",""))))</f>
        <v/>
      </c>
      <c r="I56" s="43"/>
      <c r="J56" s="43"/>
      <c r="K56" s="41"/>
      <c r="L56" s="41"/>
      <c r="M56" s="41"/>
    </row>
    <row r="57" customFormat="false" ht="18" hidden="false" customHeight="true" outlineLevel="0" collapsed="false">
      <c r="A57" s="40" t="str">
        <f aca="false">IF(B57="","",ROW()-4)</f>
        <v/>
      </c>
      <c r="B57" s="41"/>
      <c r="C57" s="42"/>
      <c r="D57" s="42"/>
      <c r="E57" s="42"/>
      <c r="F57" s="43"/>
      <c r="G57" s="40" t="str">
        <f aca="true">IF(OR(F57="",E57="Done",E57="Cancelled"),"",F57-TODAY())</f>
        <v/>
      </c>
      <c r="H57" s="44" t="str">
        <f aca="false">IF(G57="","",IF(G57&lt;0,"OVERDUE",IF(G57=0,"DUE TODAY",IF(G57&lt;=3,"DUE SOON",""))))</f>
        <v/>
      </c>
      <c r="I57" s="43"/>
      <c r="J57" s="43"/>
      <c r="K57" s="41"/>
      <c r="L57" s="41"/>
      <c r="M57" s="41"/>
    </row>
    <row r="58" customFormat="false" ht="18" hidden="false" customHeight="true" outlineLevel="0" collapsed="false">
      <c r="A58" s="40" t="str">
        <f aca="false">IF(B58="","",ROW()-4)</f>
        <v/>
      </c>
      <c r="B58" s="41"/>
      <c r="C58" s="42"/>
      <c r="D58" s="42"/>
      <c r="E58" s="42"/>
      <c r="F58" s="43"/>
      <c r="G58" s="40" t="str">
        <f aca="true">IF(OR(F58="",E58="Done",E58="Cancelled"),"",F58-TODAY())</f>
        <v/>
      </c>
      <c r="H58" s="44" t="str">
        <f aca="false">IF(G58="","",IF(G58&lt;0,"OVERDUE",IF(G58=0,"DUE TODAY",IF(G58&lt;=3,"DUE SOON",""))))</f>
        <v/>
      </c>
      <c r="I58" s="43"/>
      <c r="J58" s="43"/>
      <c r="K58" s="41"/>
      <c r="L58" s="41"/>
      <c r="M58" s="41"/>
    </row>
    <row r="59" customFormat="false" ht="18" hidden="false" customHeight="true" outlineLevel="0" collapsed="false">
      <c r="A59" s="40" t="str">
        <f aca="false">IF(B59="","",ROW()-4)</f>
        <v/>
      </c>
      <c r="B59" s="41"/>
      <c r="C59" s="42"/>
      <c r="D59" s="42"/>
      <c r="E59" s="42"/>
      <c r="F59" s="43"/>
      <c r="G59" s="40" t="str">
        <f aca="true">IF(OR(F59="",E59="Done",E59="Cancelled"),"",F59-TODAY())</f>
        <v/>
      </c>
      <c r="H59" s="44" t="str">
        <f aca="false">IF(G59="","",IF(G59&lt;0,"OVERDUE",IF(G59=0,"DUE TODAY",IF(G59&lt;=3,"DUE SOON",""))))</f>
        <v/>
      </c>
      <c r="I59" s="43"/>
      <c r="J59" s="43"/>
      <c r="K59" s="41"/>
      <c r="L59" s="41"/>
      <c r="M59" s="41"/>
    </row>
    <row r="60" customFormat="false" ht="18" hidden="false" customHeight="true" outlineLevel="0" collapsed="false">
      <c r="A60" s="40" t="str">
        <f aca="false">IF(B60="","",ROW()-4)</f>
        <v/>
      </c>
      <c r="B60" s="41"/>
      <c r="C60" s="42"/>
      <c r="D60" s="42"/>
      <c r="E60" s="42"/>
      <c r="F60" s="43"/>
      <c r="G60" s="40" t="str">
        <f aca="true">IF(OR(F60="",E60="Done",E60="Cancelled"),"",F60-TODAY())</f>
        <v/>
      </c>
      <c r="H60" s="44" t="str">
        <f aca="false">IF(G60="","",IF(G60&lt;0,"OVERDUE",IF(G60=0,"DUE TODAY",IF(G60&lt;=3,"DUE SOON",""))))</f>
        <v/>
      </c>
      <c r="I60" s="43"/>
      <c r="J60" s="43"/>
      <c r="K60" s="41"/>
      <c r="L60" s="41"/>
      <c r="M60" s="41"/>
    </row>
    <row r="61" customFormat="false" ht="18" hidden="false" customHeight="true" outlineLevel="0" collapsed="false">
      <c r="A61" s="40" t="str">
        <f aca="false">IF(B61="","",ROW()-4)</f>
        <v/>
      </c>
      <c r="B61" s="41"/>
      <c r="C61" s="42"/>
      <c r="D61" s="42"/>
      <c r="E61" s="42"/>
      <c r="F61" s="43"/>
      <c r="G61" s="40" t="str">
        <f aca="true">IF(OR(F61="",E61="Done",E61="Cancelled"),"",F61-TODAY())</f>
        <v/>
      </c>
      <c r="H61" s="44" t="str">
        <f aca="false">IF(G61="","",IF(G61&lt;0,"OVERDUE",IF(G61=0,"DUE TODAY",IF(G61&lt;=3,"DUE SOON",""))))</f>
        <v/>
      </c>
      <c r="I61" s="43"/>
      <c r="J61" s="43"/>
      <c r="K61" s="41"/>
      <c r="L61" s="41"/>
      <c r="M61" s="41"/>
    </row>
    <row r="62" customFormat="false" ht="18" hidden="false" customHeight="true" outlineLevel="0" collapsed="false">
      <c r="A62" s="40" t="str">
        <f aca="false">IF(B62="","",ROW()-4)</f>
        <v/>
      </c>
      <c r="B62" s="41"/>
      <c r="C62" s="42"/>
      <c r="D62" s="42"/>
      <c r="E62" s="42"/>
      <c r="F62" s="43"/>
      <c r="G62" s="40" t="str">
        <f aca="true">IF(OR(F62="",E62="Done",E62="Cancelled"),"",F62-TODAY())</f>
        <v/>
      </c>
      <c r="H62" s="44" t="str">
        <f aca="false">IF(G62="","",IF(G62&lt;0,"OVERDUE",IF(G62=0,"DUE TODAY",IF(G62&lt;=3,"DUE SOON",""))))</f>
        <v/>
      </c>
      <c r="I62" s="43"/>
      <c r="J62" s="43"/>
      <c r="K62" s="41"/>
      <c r="L62" s="41"/>
      <c r="M62" s="41"/>
    </row>
    <row r="63" customFormat="false" ht="18" hidden="false" customHeight="true" outlineLevel="0" collapsed="false">
      <c r="A63" s="40" t="str">
        <f aca="false">IF(B63="","",ROW()-4)</f>
        <v/>
      </c>
      <c r="B63" s="41"/>
      <c r="C63" s="42"/>
      <c r="D63" s="42"/>
      <c r="E63" s="42"/>
      <c r="F63" s="43"/>
      <c r="G63" s="40" t="str">
        <f aca="true">IF(OR(F63="",E63="Done",E63="Cancelled"),"",F63-TODAY())</f>
        <v/>
      </c>
      <c r="H63" s="44" t="str">
        <f aca="false">IF(G63="","",IF(G63&lt;0,"OVERDUE",IF(G63=0,"DUE TODAY",IF(G63&lt;=3,"DUE SOON",""))))</f>
        <v/>
      </c>
      <c r="I63" s="43"/>
      <c r="J63" s="43"/>
      <c r="K63" s="41"/>
      <c r="L63" s="41"/>
      <c r="M63" s="41"/>
    </row>
    <row r="64" customFormat="false" ht="18" hidden="false" customHeight="true" outlineLevel="0" collapsed="false">
      <c r="A64" s="40" t="str">
        <f aca="false">IF(B64="","",ROW()-4)</f>
        <v/>
      </c>
      <c r="B64" s="41"/>
      <c r="C64" s="42"/>
      <c r="D64" s="42"/>
      <c r="E64" s="42"/>
      <c r="F64" s="43"/>
      <c r="G64" s="40" t="str">
        <f aca="true">IF(OR(F64="",E64="Done",E64="Cancelled"),"",F64-TODAY())</f>
        <v/>
      </c>
      <c r="H64" s="44" t="str">
        <f aca="false">IF(G64="","",IF(G64&lt;0,"OVERDUE",IF(G64=0,"DUE TODAY",IF(G64&lt;=3,"DUE SOON",""))))</f>
        <v/>
      </c>
      <c r="I64" s="43"/>
      <c r="J64" s="43"/>
      <c r="K64" s="41"/>
      <c r="L64" s="41"/>
      <c r="M64" s="41"/>
    </row>
    <row r="65" customFormat="false" ht="18" hidden="false" customHeight="true" outlineLevel="0" collapsed="false">
      <c r="A65" s="40" t="str">
        <f aca="false">IF(B65="","",ROW()-4)</f>
        <v/>
      </c>
      <c r="B65" s="41"/>
      <c r="C65" s="42"/>
      <c r="D65" s="42"/>
      <c r="E65" s="42"/>
      <c r="F65" s="43"/>
      <c r="G65" s="40" t="str">
        <f aca="true">IF(OR(F65="",E65="Done",E65="Cancelled"),"",F65-TODAY())</f>
        <v/>
      </c>
      <c r="H65" s="44" t="str">
        <f aca="false">IF(G65="","",IF(G65&lt;0,"OVERDUE",IF(G65=0,"DUE TODAY",IF(G65&lt;=3,"DUE SOON",""))))</f>
        <v/>
      </c>
      <c r="I65" s="43"/>
      <c r="J65" s="43"/>
      <c r="K65" s="41"/>
      <c r="L65" s="41"/>
      <c r="M65" s="41"/>
    </row>
    <row r="66" customFormat="false" ht="18" hidden="false" customHeight="true" outlineLevel="0" collapsed="false">
      <c r="A66" s="40" t="str">
        <f aca="false">IF(B66="","",ROW()-4)</f>
        <v/>
      </c>
      <c r="B66" s="41"/>
      <c r="C66" s="42"/>
      <c r="D66" s="42"/>
      <c r="E66" s="42"/>
      <c r="F66" s="43"/>
      <c r="G66" s="40" t="str">
        <f aca="true">IF(OR(F66="",E66="Done",E66="Cancelled"),"",F66-TODAY())</f>
        <v/>
      </c>
      <c r="H66" s="44" t="str">
        <f aca="false">IF(G66="","",IF(G66&lt;0,"OVERDUE",IF(G66=0,"DUE TODAY",IF(G66&lt;=3,"DUE SOON",""))))</f>
        <v/>
      </c>
      <c r="I66" s="43"/>
      <c r="J66" s="43"/>
      <c r="K66" s="41"/>
      <c r="L66" s="41"/>
      <c r="M66" s="41"/>
    </row>
    <row r="67" customFormat="false" ht="18" hidden="false" customHeight="true" outlineLevel="0" collapsed="false">
      <c r="A67" s="40" t="str">
        <f aca="false">IF(B67="","",ROW()-4)</f>
        <v/>
      </c>
      <c r="B67" s="41"/>
      <c r="C67" s="42"/>
      <c r="D67" s="42"/>
      <c r="E67" s="42"/>
      <c r="F67" s="43"/>
      <c r="G67" s="40" t="str">
        <f aca="true">IF(OR(F67="",E67="Done",E67="Cancelled"),"",F67-TODAY())</f>
        <v/>
      </c>
      <c r="H67" s="44" t="str">
        <f aca="false">IF(G67="","",IF(G67&lt;0,"OVERDUE",IF(G67=0,"DUE TODAY",IF(G67&lt;=3,"DUE SOON",""))))</f>
        <v/>
      </c>
      <c r="I67" s="43"/>
      <c r="J67" s="43"/>
      <c r="K67" s="41"/>
      <c r="L67" s="41"/>
      <c r="M67" s="41"/>
    </row>
    <row r="68" customFormat="false" ht="18" hidden="false" customHeight="true" outlineLevel="0" collapsed="false">
      <c r="A68" s="40" t="str">
        <f aca="false">IF(B68="","",ROW()-4)</f>
        <v/>
      </c>
      <c r="B68" s="41"/>
      <c r="C68" s="42"/>
      <c r="D68" s="42"/>
      <c r="E68" s="42"/>
      <c r="F68" s="43"/>
      <c r="G68" s="40" t="str">
        <f aca="true">IF(OR(F68="",E68="Done",E68="Cancelled"),"",F68-TODAY())</f>
        <v/>
      </c>
      <c r="H68" s="44" t="str">
        <f aca="false">IF(G68="","",IF(G68&lt;0,"OVERDUE",IF(G68=0,"DUE TODAY",IF(G68&lt;=3,"DUE SOON",""))))</f>
        <v/>
      </c>
      <c r="I68" s="43"/>
      <c r="J68" s="43"/>
      <c r="K68" s="41"/>
      <c r="L68" s="41"/>
      <c r="M68" s="41"/>
    </row>
    <row r="69" customFormat="false" ht="18" hidden="false" customHeight="true" outlineLevel="0" collapsed="false">
      <c r="A69" s="40" t="str">
        <f aca="false">IF(B69="","",ROW()-4)</f>
        <v/>
      </c>
      <c r="B69" s="41"/>
      <c r="C69" s="42"/>
      <c r="D69" s="42"/>
      <c r="E69" s="42"/>
      <c r="F69" s="43"/>
      <c r="G69" s="40" t="str">
        <f aca="true">IF(OR(F69="",E69="Done",E69="Cancelled"),"",F69-TODAY())</f>
        <v/>
      </c>
      <c r="H69" s="44" t="str">
        <f aca="false">IF(G69="","",IF(G69&lt;0,"OVERDUE",IF(G69=0,"DUE TODAY",IF(G69&lt;=3,"DUE SOON",""))))</f>
        <v/>
      </c>
      <c r="I69" s="43"/>
      <c r="J69" s="43"/>
      <c r="K69" s="41"/>
      <c r="L69" s="41"/>
      <c r="M69" s="41"/>
    </row>
    <row r="70" customFormat="false" ht="18" hidden="false" customHeight="true" outlineLevel="0" collapsed="false">
      <c r="A70" s="40" t="str">
        <f aca="false">IF(B70="","",ROW()-4)</f>
        <v/>
      </c>
      <c r="B70" s="41"/>
      <c r="C70" s="42"/>
      <c r="D70" s="42"/>
      <c r="E70" s="42"/>
      <c r="F70" s="43"/>
      <c r="G70" s="40" t="str">
        <f aca="true">IF(OR(F70="",E70="Done",E70="Cancelled"),"",F70-TODAY())</f>
        <v/>
      </c>
      <c r="H70" s="44" t="str">
        <f aca="false">IF(G70="","",IF(G70&lt;0,"OVERDUE",IF(G70=0,"DUE TODAY",IF(G70&lt;=3,"DUE SOON",""))))</f>
        <v/>
      </c>
      <c r="I70" s="43"/>
      <c r="J70" s="43"/>
      <c r="K70" s="41"/>
      <c r="L70" s="41"/>
      <c r="M70" s="41"/>
    </row>
    <row r="71" customFormat="false" ht="18" hidden="false" customHeight="true" outlineLevel="0" collapsed="false">
      <c r="A71" s="40" t="str">
        <f aca="false">IF(B71="","",ROW()-4)</f>
        <v/>
      </c>
      <c r="B71" s="41"/>
      <c r="C71" s="42"/>
      <c r="D71" s="42"/>
      <c r="E71" s="42"/>
      <c r="F71" s="43"/>
      <c r="G71" s="40" t="str">
        <f aca="true">IF(OR(F71="",E71="Done",E71="Cancelled"),"",F71-TODAY())</f>
        <v/>
      </c>
      <c r="H71" s="44" t="str">
        <f aca="false">IF(G71="","",IF(G71&lt;0,"OVERDUE",IF(G71=0,"DUE TODAY",IF(G71&lt;=3,"DUE SOON",""))))</f>
        <v/>
      </c>
      <c r="I71" s="43"/>
      <c r="J71" s="43"/>
      <c r="K71" s="41"/>
      <c r="L71" s="41"/>
      <c r="M71" s="41"/>
    </row>
    <row r="72" customFormat="false" ht="18" hidden="false" customHeight="true" outlineLevel="0" collapsed="false">
      <c r="A72" s="40" t="str">
        <f aca="false">IF(B72="","",ROW()-4)</f>
        <v/>
      </c>
      <c r="B72" s="41"/>
      <c r="C72" s="42"/>
      <c r="D72" s="42"/>
      <c r="E72" s="42"/>
      <c r="F72" s="43"/>
      <c r="G72" s="40" t="str">
        <f aca="true">IF(OR(F72="",E72="Done",E72="Cancelled"),"",F72-TODAY())</f>
        <v/>
      </c>
      <c r="H72" s="44" t="str">
        <f aca="false">IF(G72="","",IF(G72&lt;0,"OVERDUE",IF(G72=0,"DUE TODAY",IF(G72&lt;=3,"DUE SOON",""))))</f>
        <v/>
      </c>
      <c r="I72" s="43"/>
      <c r="J72" s="43"/>
      <c r="K72" s="41"/>
      <c r="L72" s="41"/>
      <c r="M72" s="41"/>
    </row>
    <row r="73" customFormat="false" ht="18" hidden="false" customHeight="true" outlineLevel="0" collapsed="false">
      <c r="A73" s="40" t="str">
        <f aca="false">IF(B73="","",ROW()-4)</f>
        <v/>
      </c>
      <c r="B73" s="41"/>
      <c r="C73" s="42"/>
      <c r="D73" s="42"/>
      <c r="E73" s="42"/>
      <c r="F73" s="43"/>
      <c r="G73" s="40" t="str">
        <f aca="true">IF(OR(F73="",E73="Done",E73="Cancelled"),"",F73-TODAY())</f>
        <v/>
      </c>
      <c r="H73" s="44" t="str">
        <f aca="false">IF(G73="","",IF(G73&lt;0,"OVERDUE",IF(G73=0,"DUE TODAY",IF(G73&lt;=3,"DUE SOON",""))))</f>
        <v/>
      </c>
      <c r="I73" s="43"/>
      <c r="J73" s="43"/>
      <c r="K73" s="41"/>
      <c r="L73" s="41"/>
      <c r="M73" s="41"/>
    </row>
    <row r="74" customFormat="false" ht="18" hidden="false" customHeight="true" outlineLevel="0" collapsed="false">
      <c r="A74" s="40" t="str">
        <f aca="false">IF(B74="","",ROW()-4)</f>
        <v/>
      </c>
      <c r="B74" s="41"/>
      <c r="C74" s="42"/>
      <c r="D74" s="42"/>
      <c r="E74" s="42"/>
      <c r="F74" s="43"/>
      <c r="G74" s="40" t="str">
        <f aca="true">IF(OR(F74="",E74="Done",E74="Cancelled"),"",F74-TODAY())</f>
        <v/>
      </c>
      <c r="H74" s="44" t="str">
        <f aca="false">IF(G74="","",IF(G74&lt;0,"OVERDUE",IF(G74=0,"DUE TODAY",IF(G74&lt;=3,"DUE SOON",""))))</f>
        <v/>
      </c>
      <c r="I74" s="43"/>
      <c r="J74" s="43"/>
      <c r="K74" s="41"/>
      <c r="L74" s="41"/>
      <c r="M74" s="41"/>
    </row>
    <row r="75" customFormat="false" ht="18" hidden="false" customHeight="true" outlineLevel="0" collapsed="false">
      <c r="A75" s="40" t="str">
        <f aca="false">IF(B75="","",ROW()-4)</f>
        <v/>
      </c>
      <c r="B75" s="41"/>
      <c r="C75" s="42"/>
      <c r="D75" s="42"/>
      <c r="E75" s="42"/>
      <c r="F75" s="43"/>
      <c r="G75" s="40" t="str">
        <f aca="true">IF(OR(F75="",E75="Done",E75="Cancelled"),"",F75-TODAY())</f>
        <v/>
      </c>
      <c r="H75" s="44" t="str">
        <f aca="false">IF(G75="","",IF(G75&lt;0,"OVERDUE",IF(G75=0,"DUE TODAY",IF(G75&lt;=3,"DUE SOON",""))))</f>
        <v/>
      </c>
      <c r="I75" s="43"/>
      <c r="J75" s="43"/>
      <c r="K75" s="41"/>
      <c r="L75" s="41"/>
      <c r="M75" s="41"/>
    </row>
    <row r="76" customFormat="false" ht="18" hidden="false" customHeight="true" outlineLevel="0" collapsed="false">
      <c r="A76" s="40" t="str">
        <f aca="false">IF(B76="","",ROW()-4)</f>
        <v/>
      </c>
      <c r="B76" s="41"/>
      <c r="C76" s="42"/>
      <c r="D76" s="42"/>
      <c r="E76" s="42"/>
      <c r="F76" s="43"/>
      <c r="G76" s="40" t="str">
        <f aca="true">IF(OR(F76="",E76="Done",E76="Cancelled"),"",F76-TODAY())</f>
        <v/>
      </c>
      <c r="H76" s="44" t="str">
        <f aca="false">IF(G76="","",IF(G76&lt;0,"OVERDUE",IF(G76=0,"DUE TODAY",IF(G76&lt;=3,"DUE SOON",""))))</f>
        <v/>
      </c>
      <c r="I76" s="43"/>
      <c r="J76" s="43"/>
      <c r="K76" s="41"/>
      <c r="L76" s="41"/>
      <c r="M76" s="41"/>
    </row>
    <row r="77" customFormat="false" ht="18" hidden="false" customHeight="true" outlineLevel="0" collapsed="false">
      <c r="A77" s="40" t="str">
        <f aca="false">IF(B77="","",ROW()-4)</f>
        <v/>
      </c>
      <c r="B77" s="41"/>
      <c r="C77" s="42"/>
      <c r="D77" s="42"/>
      <c r="E77" s="42"/>
      <c r="F77" s="43"/>
      <c r="G77" s="40" t="str">
        <f aca="true">IF(OR(F77="",E77="Done",E77="Cancelled"),"",F77-TODAY())</f>
        <v/>
      </c>
      <c r="H77" s="44" t="str">
        <f aca="false">IF(G77="","",IF(G77&lt;0,"OVERDUE",IF(G77=0,"DUE TODAY",IF(G77&lt;=3,"DUE SOON",""))))</f>
        <v/>
      </c>
      <c r="I77" s="43"/>
      <c r="J77" s="43"/>
      <c r="K77" s="41"/>
      <c r="L77" s="41"/>
      <c r="M77" s="41"/>
    </row>
    <row r="78" customFormat="false" ht="18" hidden="false" customHeight="true" outlineLevel="0" collapsed="false">
      <c r="A78" s="40" t="str">
        <f aca="false">IF(B78="","",ROW()-4)</f>
        <v/>
      </c>
      <c r="B78" s="41"/>
      <c r="C78" s="42"/>
      <c r="D78" s="42"/>
      <c r="E78" s="42"/>
      <c r="F78" s="43"/>
      <c r="G78" s="40" t="str">
        <f aca="true">IF(OR(F78="",E78="Done",E78="Cancelled"),"",F78-TODAY())</f>
        <v/>
      </c>
      <c r="H78" s="44" t="str">
        <f aca="false">IF(G78="","",IF(G78&lt;0,"OVERDUE",IF(G78=0,"DUE TODAY",IF(G78&lt;=3,"DUE SOON",""))))</f>
        <v/>
      </c>
      <c r="I78" s="43"/>
      <c r="J78" s="43"/>
      <c r="K78" s="41"/>
      <c r="L78" s="41"/>
      <c r="M78" s="41"/>
    </row>
    <row r="79" customFormat="false" ht="18" hidden="false" customHeight="true" outlineLevel="0" collapsed="false">
      <c r="A79" s="40" t="str">
        <f aca="false">IF(B79="","",ROW()-4)</f>
        <v/>
      </c>
      <c r="B79" s="41"/>
      <c r="C79" s="42"/>
      <c r="D79" s="42"/>
      <c r="E79" s="42"/>
      <c r="F79" s="43"/>
      <c r="G79" s="40" t="str">
        <f aca="true">IF(OR(F79="",E79="Done",E79="Cancelled"),"",F79-TODAY())</f>
        <v/>
      </c>
      <c r="H79" s="44" t="str">
        <f aca="false">IF(G79="","",IF(G79&lt;0,"OVERDUE",IF(G79=0,"DUE TODAY",IF(G79&lt;=3,"DUE SOON",""))))</f>
        <v/>
      </c>
      <c r="I79" s="43"/>
      <c r="J79" s="43"/>
      <c r="K79" s="41"/>
      <c r="L79" s="41"/>
      <c r="M79" s="41"/>
    </row>
    <row r="80" customFormat="false" ht="18" hidden="false" customHeight="true" outlineLevel="0" collapsed="false">
      <c r="A80" s="40" t="str">
        <f aca="false">IF(B80="","",ROW()-4)</f>
        <v/>
      </c>
      <c r="B80" s="41"/>
      <c r="C80" s="42"/>
      <c r="D80" s="42"/>
      <c r="E80" s="42"/>
      <c r="F80" s="43"/>
      <c r="G80" s="40" t="str">
        <f aca="true">IF(OR(F80="",E80="Done",E80="Cancelled"),"",F80-TODAY())</f>
        <v/>
      </c>
      <c r="H80" s="44" t="str">
        <f aca="false">IF(G80="","",IF(G80&lt;0,"OVERDUE",IF(G80=0,"DUE TODAY",IF(G80&lt;=3,"DUE SOON",""))))</f>
        <v/>
      </c>
      <c r="I80" s="43"/>
      <c r="J80" s="43"/>
      <c r="K80" s="41"/>
      <c r="L80" s="41"/>
      <c r="M80" s="41"/>
    </row>
    <row r="81" customFormat="false" ht="18" hidden="false" customHeight="true" outlineLevel="0" collapsed="false">
      <c r="A81" s="40" t="str">
        <f aca="false">IF(B81="","",ROW()-4)</f>
        <v/>
      </c>
      <c r="B81" s="41"/>
      <c r="C81" s="42"/>
      <c r="D81" s="42"/>
      <c r="E81" s="42"/>
      <c r="F81" s="43"/>
      <c r="G81" s="40" t="str">
        <f aca="true">IF(OR(F81="",E81="Done",E81="Cancelled"),"",F81-TODAY())</f>
        <v/>
      </c>
      <c r="H81" s="44" t="str">
        <f aca="false">IF(G81="","",IF(G81&lt;0,"OVERDUE",IF(G81=0,"DUE TODAY",IF(G81&lt;=3,"DUE SOON",""))))</f>
        <v/>
      </c>
      <c r="I81" s="43"/>
      <c r="J81" s="43"/>
      <c r="K81" s="41"/>
      <c r="L81" s="41"/>
      <c r="M81" s="41"/>
    </row>
    <row r="82" customFormat="false" ht="18" hidden="false" customHeight="true" outlineLevel="0" collapsed="false">
      <c r="A82" s="40" t="str">
        <f aca="false">IF(B82="","",ROW()-4)</f>
        <v/>
      </c>
      <c r="B82" s="41"/>
      <c r="C82" s="42"/>
      <c r="D82" s="42"/>
      <c r="E82" s="42"/>
      <c r="F82" s="43"/>
      <c r="G82" s="40" t="str">
        <f aca="true">IF(OR(F82="",E82="Done",E82="Cancelled"),"",F82-TODAY())</f>
        <v/>
      </c>
      <c r="H82" s="44" t="str">
        <f aca="false">IF(G82="","",IF(G82&lt;0,"OVERDUE",IF(G82=0,"DUE TODAY",IF(G82&lt;=3,"DUE SOON",""))))</f>
        <v/>
      </c>
      <c r="I82" s="43"/>
      <c r="J82" s="43"/>
      <c r="K82" s="41"/>
      <c r="L82" s="41"/>
      <c r="M82" s="41"/>
    </row>
    <row r="83" customFormat="false" ht="18" hidden="false" customHeight="true" outlineLevel="0" collapsed="false">
      <c r="A83" s="40" t="str">
        <f aca="false">IF(B83="","",ROW()-4)</f>
        <v/>
      </c>
      <c r="B83" s="41"/>
      <c r="C83" s="42"/>
      <c r="D83" s="42"/>
      <c r="E83" s="42"/>
      <c r="F83" s="43"/>
      <c r="G83" s="40" t="str">
        <f aca="true">IF(OR(F83="",E83="Done",E83="Cancelled"),"",F83-TODAY())</f>
        <v/>
      </c>
      <c r="H83" s="44" t="str">
        <f aca="false">IF(G83="","",IF(G83&lt;0,"OVERDUE",IF(G83=0,"DUE TODAY",IF(G83&lt;=3,"DUE SOON",""))))</f>
        <v/>
      </c>
      <c r="I83" s="43"/>
      <c r="J83" s="43"/>
      <c r="K83" s="41"/>
      <c r="L83" s="41"/>
      <c r="M83" s="41"/>
    </row>
    <row r="84" customFormat="false" ht="18" hidden="false" customHeight="true" outlineLevel="0" collapsed="false">
      <c r="A84" s="40" t="str">
        <f aca="false">IF(B84="","",ROW()-4)</f>
        <v/>
      </c>
      <c r="B84" s="41"/>
      <c r="C84" s="42"/>
      <c r="D84" s="42"/>
      <c r="E84" s="42"/>
      <c r="F84" s="43"/>
      <c r="G84" s="40" t="str">
        <f aca="true">IF(OR(F84="",E84="Done",E84="Cancelled"),"",F84-TODAY())</f>
        <v/>
      </c>
      <c r="H84" s="44" t="str">
        <f aca="false">IF(G84="","",IF(G84&lt;0,"OVERDUE",IF(G84=0,"DUE TODAY",IF(G84&lt;=3,"DUE SOON",""))))</f>
        <v/>
      </c>
      <c r="I84" s="43"/>
      <c r="J84" s="43"/>
      <c r="K84" s="41"/>
      <c r="L84" s="41"/>
      <c r="M84" s="41"/>
    </row>
    <row r="85" customFormat="false" ht="18" hidden="false" customHeight="true" outlineLevel="0" collapsed="false">
      <c r="A85" s="40" t="str">
        <f aca="false">IF(B85="","",ROW()-4)</f>
        <v/>
      </c>
      <c r="B85" s="41"/>
      <c r="C85" s="42"/>
      <c r="D85" s="42"/>
      <c r="E85" s="42"/>
      <c r="F85" s="43"/>
      <c r="G85" s="40" t="str">
        <f aca="true">IF(OR(F85="",E85="Done",E85="Cancelled"),"",F85-TODAY())</f>
        <v/>
      </c>
      <c r="H85" s="44" t="str">
        <f aca="false">IF(G85="","",IF(G85&lt;0,"OVERDUE",IF(G85=0,"DUE TODAY",IF(G85&lt;=3,"DUE SOON",""))))</f>
        <v/>
      </c>
      <c r="I85" s="43"/>
      <c r="J85" s="43"/>
      <c r="K85" s="41"/>
      <c r="L85" s="41"/>
      <c r="M85" s="41"/>
    </row>
    <row r="86" customFormat="false" ht="18" hidden="false" customHeight="true" outlineLevel="0" collapsed="false">
      <c r="A86" s="40" t="str">
        <f aca="false">IF(B86="","",ROW()-4)</f>
        <v/>
      </c>
      <c r="B86" s="41"/>
      <c r="C86" s="42"/>
      <c r="D86" s="42"/>
      <c r="E86" s="42"/>
      <c r="F86" s="43"/>
      <c r="G86" s="40" t="str">
        <f aca="true">IF(OR(F86="",E86="Done",E86="Cancelled"),"",F86-TODAY())</f>
        <v/>
      </c>
      <c r="H86" s="44" t="str">
        <f aca="false">IF(G86="","",IF(G86&lt;0,"OVERDUE",IF(G86=0,"DUE TODAY",IF(G86&lt;=3,"DUE SOON",""))))</f>
        <v/>
      </c>
      <c r="I86" s="43"/>
      <c r="J86" s="43"/>
      <c r="K86" s="41"/>
      <c r="L86" s="41"/>
      <c r="M86" s="41"/>
    </row>
    <row r="87" customFormat="false" ht="18" hidden="false" customHeight="true" outlineLevel="0" collapsed="false">
      <c r="A87" s="40" t="str">
        <f aca="false">IF(B87="","",ROW()-4)</f>
        <v/>
      </c>
      <c r="B87" s="41"/>
      <c r="C87" s="42"/>
      <c r="D87" s="42"/>
      <c r="E87" s="42"/>
      <c r="F87" s="43"/>
      <c r="G87" s="40" t="str">
        <f aca="true">IF(OR(F87="",E87="Done",E87="Cancelled"),"",F87-TODAY())</f>
        <v/>
      </c>
      <c r="H87" s="44" t="str">
        <f aca="false">IF(G87="","",IF(G87&lt;0,"OVERDUE",IF(G87=0,"DUE TODAY",IF(G87&lt;=3,"DUE SOON",""))))</f>
        <v/>
      </c>
      <c r="I87" s="43"/>
      <c r="J87" s="43"/>
      <c r="K87" s="41"/>
      <c r="L87" s="41"/>
      <c r="M87" s="41"/>
    </row>
    <row r="88" customFormat="false" ht="18" hidden="false" customHeight="true" outlineLevel="0" collapsed="false">
      <c r="A88" s="40" t="str">
        <f aca="false">IF(B88="","",ROW()-4)</f>
        <v/>
      </c>
      <c r="B88" s="41"/>
      <c r="C88" s="42"/>
      <c r="D88" s="42"/>
      <c r="E88" s="42"/>
      <c r="F88" s="43"/>
      <c r="G88" s="40" t="str">
        <f aca="true">IF(OR(F88="",E88="Done",E88="Cancelled"),"",F88-TODAY())</f>
        <v/>
      </c>
      <c r="H88" s="44" t="str">
        <f aca="false">IF(G88="","",IF(G88&lt;0,"OVERDUE",IF(G88=0,"DUE TODAY",IF(G88&lt;=3,"DUE SOON",""))))</f>
        <v/>
      </c>
      <c r="I88" s="43"/>
      <c r="J88" s="43"/>
      <c r="K88" s="41"/>
      <c r="L88" s="41"/>
      <c r="M88" s="41"/>
    </row>
    <row r="89" customFormat="false" ht="18" hidden="false" customHeight="true" outlineLevel="0" collapsed="false">
      <c r="A89" s="40" t="str">
        <f aca="false">IF(B89="","",ROW()-4)</f>
        <v/>
      </c>
      <c r="B89" s="41"/>
      <c r="C89" s="42"/>
      <c r="D89" s="42"/>
      <c r="E89" s="42"/>
      <c r="F89" s="43"/>
      <c r="G89" s="40" t="str">
        <f aca="true">IF(OR(F89="",E89="Done",E89="Cancelled"),"",F89-TODAY())</f>
        <v/>
      </c>
      <c r="H89" s="44" t="str">
        <f aca="false">IF(G89="","",IF(G89&lt;0,"OVERDUE",IF(G89=0,"DUE TODAY",IF(G89&lt;=3,"DUE SOON",""))))</f>
        <v/>
      </c>
      <c r="I89" s="43"/>
      <c r="J89" s="43"/>
      <c r="K89" s="41"/>
      <c r="L89" s="41"/>
      <c r="M89" s="41"/>
    </row>
    <row r="90" customFormat="false" ht="18" hidden="false" customHeight="true" outlineLevel="0" collapsed="false">
      <c r="A90" s="40" t="str">
        <f aca="false">IF(B90="","",ROW()-4)</f>
        <v/>
      </c>
      <c r="B90" s="41"/>
      <c r="C90" s="42"/>
      <c r="D90" s="42"/>
      <c r="E90" s="42"/>
      <c r="F90" s="43"/>
      <c r="G90" s="40" t="str">
        <f aca="true">IF(OR(F90="",E90="Done",E90="Cancelled"),"",F90-TODAY())</f>
        <v/>
      </c>
      <c r="H90" s="44" t="str">
        <f aca="false">IF(G90="","",IF(G90&lt;0,"OVERDUE",IF(G90=0,"DUE TODAY",IF(G90&lt;=3,"DUE SOON",""))))</f>
        <v/>
      </c>
      <c r="I90" s="43"/>
      <c r="J90" s="43"/>
      <c r="K90" s="41"/>
      <c r="L90" s="41"/>
      <c r="M90" s="41"/>
    </row>
    <row r="91" customFormat="false" ht="18" hidden="false" customHeight="true" outlineLevel="0" collapsed="false">
      <c r="A91" s="40" t="str">
        <f aca="false">IF(B91="","",ROW()-4)</f>
        <v/>
      </c>
      <c r="B91" s="41"/>
      <c r="C91" s="42"/>
      <c r="D91" s="42"/>
      <c r="E91" s="42"/>
      <c r="F91" s="43"/>
      <c r="G91" s="40" t="str">
        <f aca="true">IF(OR(F91="",E91="Done",E91="Cancelled"),"",F91-TODAY())</f>
        <v/>
      </c>
      <c r="H91" s="44" t="str">
        <f aca="false">IF(G91="","",IF(G91&lt;0,"OVERDUE",IF(G91=0,"DUE TODAY",IF(G91&lt;=3,"DUE SOON",""))))</f>
        <v/>
      </c>
      <c r="I91" s="43"/>
      <c r="J91" s="43"/>
      <c r="K91" s="41"/>
      <c r="L91" s="41"/>
      <c r="M91" s="41"/>
    </row>
    <row r="92" customFormat="false" ht="18" hidden="false" customHeight="true" outlineLevel="0" collapsed="false">
      <c r="A92" s="40" t="str">
        <f aca="false">IF(B92="","",ROW()-4)</f>
        <v/>
      </c>
      <c r="B92" s="41"/>
      <c r="C92" s="42"/>
      <c r="D92" s="42"/>
      <c r="E92" s="42"/>
      <c r="F92" s="43"/>
      <c r="G92" s="40" t="str">
        <f aca="true">IF(OR(F92="",E92="Done",E92="Cancelled"),"",F92-TODAY())</f>
        <v/>
      </c>
      <c r="H92" s="44" t="str">
        <f aca="false">IF(G92="","",IF(G92&lt;0,"OVERDUE",IF(G92=0,"DUE TODAY",IF(G92&lt;=3,"DUE SOON",""))))</f>
        <v/>
      </c>
      <c r="I92" s="43"/>
      <c r="J92" s="43"/>
      <c r="K92" s="41"/>
      <c r="L92" s="41"/>
      <c r="M92" s="41"/>
    </row>
    <row r="93" customFormat="false" ht="18" hidden="false" customHeight="true" outlineLevel="0" collapsed="false">
      <c r="A93" s="40" t="str">
        <f aca="false">IF(B93="","",ROW()-4)</f>
        <v/>
      </c>
      <c r="B93" s="41"/>
      <c r="C93" s="42"/>
      <c r="D93" s="42"/>
      <c r="E93" s="42"/>
      <c r="F93" s="43"/>
      <c r="G93" s="40" t="str">
        <f aca="true">IF(OR(F93="",E93="Done",E93="Cancelled"),"",F93-TODAY())</f>
        <v/>
      </c>
      <c r="H93" s="44" t="str">
        <f aca="false">IF(G93="","",IF(G93&lt;0,"OVERDUE",IF(G93=0,"DUE TODAY",IF(G93&lt;=3,"DUE SOON",""))))</f>
        <v/>
      </c>
      <c r="I93" s="43"/>
      <c r="J93" s="43"/>
      <c r="K93" s="41"/>
      <c r="L93" s="41"/>
      <c r="M93" s="41"/>
    </row>
    <row r="94" customFormat="false" ht="18" hidden="false" customHeight="true" outlineLevel="0" collapsed="false">
      <c r="A94" s="40" t="str">
        <f aca="false">IF(B94="","",ROW()-4)</f>
        <v/>
      </c>
      <c r="B94" s="41"/>
      <c r="C94" s="42"/>
      <c r="D94" s="42"/>
      <c r="E94" s="42"/>
      <c r="F94" s="43"/>
      <c r="G94" s="40" t="str">
        <f aca="true">IF(OR(F94="",E94="Done",E94="Cancelled"),"",F94-TODAY())</f>
        <v/>
      </c>
      <c r="H94" s="44" t="str">
        <f aca="false">IF(G94="","",IF(G94&lt;0,"OVERDUE",IF(G94=0,"DUE TODAY",IF(G94&lt;=3,"DUE SOON",""))))</f>
        <v/>
      </c>
      <c r="I94" s="43"/>
      <c r="J94" s="43"/>
      <c r="K94" s="41"/>
      <c r="L94" s="41"/>
      <c r="M94" s="41"/>
    </row>
    <row r="95" customFormat="false" ht="18" hidden="false" customHeight="true" outlineLevel="0" collapsed="false">
      <c r="A95" s="40" t="str">
        <f aca="false">IF(B95="","",ROW()-4)</f>
        <v/>
      </c>
      <c r="B95" s="41"/>
      <c r="C95" s="42"/>
      <c r="D95" s="42"/>
      <c r="E95" s="42"/>
      <c r="F95" s="43"/>
      <c r="G95" s="40" t="str">
        <f aca="true">IF(OR(F95="",E95="Done",E95="Cancelled"),"",F95-TODAY())</f>
        <v/>
      </c>
      <c r="H95" s="44" t="str">
        <f aca="false">IF(G95="","",IF(G95&lt;0,"OVERDUE",IF(G95=0,"DUE TODAY",IF(G95&lt;=3,"DUE SOON",""))))</f>
        <v/>
      </c>
      <c r="I95" s="43"/>
      <c r="J95" s="43"/>
      <c r="K95" s="41"/>
      <c r="L95" s="41"/>
      <c r="M95" s="41"/>
    </row>
    <row r="96" customFormat="false" ht="18" hidden="false" customHeight="true" outlineLevel="0" collapsed="false">
      <c r="A96" s="40" t="str">
        <f aca="false">IF(B96="","",ROW()-4)</f>
        <v/>
      </c>
      <c r="B96" s="41"/>
      <c r="C96" s="42"/>
      <c r="D96" s="42"/>
      <c r="E96" s="42"/>
      <c r="F96" s="43"/>
      <c r="G96" s="40" t="str">
        <f aca="true">IF(OR(F96="",E96="Done",E96="Cancelled"),"",F96-TODAY())</f>
        <v/>
      </c>
      <c r="H96" s="44" t="str">
        <f aca="false">IF(G96="","",IF(G96&lt;0,"OVERDUE",IF(G96=0,"DUE TODAY",IF(G96&lt;=3,"DUE SOON",""))))</f>
        <v/>
      </c>
      <c r="I96" s="43"/>
      <c r="J96" s="43"/>
      <c r="K96" s="41"/>
      <c r="L96" s="41"/>
      <c r="M96" s="41"/>
    </row>
    <row r="97" customFormat="false" ht="18" hidden="false" customHeight="true" outlineLevel="0" collapsed="false">
      <c r="A97" s="40" t="str">
        <f aca="false">IF(B97="","",ROW()-4)</f>
        <v/>
      </c>
      <c r="B97" s="41"/>
      <c r="C97" s="42"/>
      <c r="D97" s="42"/>
      <c r="E97" s="42"/>
      <c r="F97" s="43"/>
      <c r="G97" s="40" t="str">
        <f aca="true">IF(OR(F97="",E97="Done",E97="Cancelled"),"",F97-TODAY())</f>
        <v/>
      </c>
      <c r="H97" s="44" t="str">
        <f aca="false">IF(G97="","",IF(G97&lt;0,"OVERDUE",IF(G97=0,"DUE TODAY",IF(G97&lt;=3,"DUE SOON",""))))</f>
        <v/>
      </c>
      <c r="I97" s="43"/>
      <c r="J97" s="43"/>
      <c r="K97" s="41"/>
      <c r="L97" s="41"/>
      <c r="M97" s="41"/>
    </row>
    <row r="98" customFormat="false" ht="18" hidden="false" customHeight="true" outlineLevel="0" collapsed="false">
      <c r="A98" s="40" t="str">
        <f aca="false">IF(B98="","",ROW()-4)</f>
        <v/>
      </c>
      <c r="B98" s="41"/>
      <c r="C98" s="42"/>
      <c r="D98" s="42"/>
      <c r="E98" s="42"/>
      <c r="F98" s="43"/>
      <c r="G98" s="40" t="str">
        <f aca="true">IF(OR(F98="",E98="Done",E98="Cancelled"),"",F98-TODAY())</f>
        <v/>
      </c>
      <c r="H98" s="44" t="str">
        <f aca="false">IF(G98="","",IF(G98&lt;0,"OVERDUE",IF(G98=0,"DUE TODAY",IF(G98&lt;=3,"DUE SOON",""))))</f>
        <v/>
      </c>
      <c r="I98" s="43"/>
      <c r="J98" s="43"/>
      <c r="K98" s="41"/>
      <c r="L98" s="41"/>
      <c r="M98" s="41"/>
    </row>
    <row r="99" customFormat="false" ht="18" hidden="false" customHeight="true" outlineLevel="0" collapsed="false">
      <c r="A99" s="40" t="str">
        <f aca="false">IF(B99="","",ROW()-4)</f>
        <v/>
      </c>
      <c r="B99" s="41"/>
      <c r="C99" s="42"/>
      <c r="D99" s="42"/>
      <c r="E99" s="42"/>
      <c r="F99" s="43"/>
      <c r="G99" s="40" t="str">
        <f aca="true">IF(OR(F99="",E99="Done",E99="Cancelled"),"",F99-TODAY())</f>
        <v/>
      </c>
      <c r="H99" s="44" t="str">
        <f aca="false">IF(G99="","",IF(G99&lt;0,"OVERDUE",IF(G99=0,"DUE TODAY",IF(G99&lt;=3,"DUE SOON",""))))</f>
        <v/>
      </c>
      <c r="I99" s="43"/>
      <c r="J99" s="43"/>
      <c r="K99" s="41"/>
      <c r="L99" s="41"/>
      <c r="M99" s="41"/>
    </row>
    <row r="100" customFormat="false" ht="18" hidden="false" customHeight="true" outlineLevel="0" collapsed="false">
      <c r="A100" s="40" t="str">
        <f aca="false">IF(B100="","",ROW()-4)</f>
        <v/>
      </c>
      <c r="B100" s="41"/>
      <c r="C100" s="42"/>
      <c r="D100" s="42"/>
      <c r="E100" s="42"/>
      <c r="F100" s="43"/>
      <c r="G100" s="40" t="str">
        <f aca="true">IF(OR(F100="",E100="Done",E100="Cancelled"),"",F100-TODAY())</f>
        <v/>
      </c>
      <c r="H100" s="44" t="str">
        <f aca="false">IF(G100="","",IF(G100&lt;0,"OVERDUE",IF(G100=0,"DUE TODAY",IF(G100&lt;=3,"DUE SOON",""))))</f>
        <v/>
      </c>
      <c r="I100" s="43"/>
      <c r="J100" s="43"/>
      <c r="K100" s="41"/>
      <c r="L100" s="41"/>
      <c r="M100" s="41"/>
    </row>
    <row r="101" customFormat="false" ht="18" hidden="false" customHeight="true" outlineLevel="0" collapsed="false">
      <c r="A101" s="40" t="str">
        <f aca="false">IF(B101="","",ROW()-4)</f>
        <v/>
      </c>
      <c r="B101" s="41"/>
      <c r="C101" s="42"/>
      <c r="D101" s="42"/>
      <c r="E101" s="42"/>
      <c r="F101" s="43"/>
      <c r="G101" s="40" t="str">
        <f aca="true">IF(OR(F101="",E101="Done",E101="Cancelled"),"",F101-TODAY())</f>
        <v/>
      </c>
      <c r="H101" s="44" t="str">
        <f aca="false">IF(G101="","",IF(G101&lt;0,"OVERDUE",IF(G101=0,"DUE TODAY",IF(G101&lt;=3,"DUE SOON",""))))</f>
        <v/>
      </c>
      <c r="I101" s="43"/>
      <c r="J101" s="43"/>
      <c r="K101" s="41"/>
      <c r="L101" s="41"/>
      <c r="M101" s="41"/>
    </row>
    <row r="102" customFormat="false" ht="18" hidden="false" customHeight="true" outlineLevel="0" collapsed="false">
      <c r="A102" s="40" t="str">
        <f aca="false">IF(B102="","",ROW()-4)</f>
        <v/>
      </c>
      <c r="B102" s="41"/>
      <c r="C102" s="42"/>
      <c r="D102" s="42"/>
      <c r="E102" s="42"/>
      <c r="F102" s="43"/>
      <c r="G102" s="40" t="str">
        <f aca="true">IF(OR(F102="",E102="Done",E102="Cancelled"),"",F102-TODAY())</f>
        <v/>
      </c>
      <c r="H102" s="44" t="str">
        <f aca="false">IF(G102="","",IF(G102&lt;0,"OVERDUE",IF(G102=0,"DUE TODAY",IF(G102&lt;=3,"DUE SOON",""))))</f>
        <v/>
      </c>
      <c r="I102" s="43"/>
      <c r="J102" s="43"/>
      <c r="K102" s="41"/>
      <c r="L102" s="41"/>
      <c r="M102" s="41"/>
    </row>
    <row r="103" customFormat="false" ht="18" hidden="false" customHeight="true" outlineLevel="0" collapsed="false">
      <c r="A103" s="40" t="str">
        <f aca="false">IF(B103="","",ROW()-4)</f>
        <v/>
      </c>
      <c r="B103" s="41"/>
      <c r="C103" s="42"/>
      <c r="D103" s="42"/>
      <c r="E103" s="42"/>
      <c r="F103" s="43"/>
      <c r="G103" s="40" t="str">
        <f aca="true">IF(OR(F103="",E103="Done",E103="Cancelled"),"",F103-TODAY())</f>
        <v/>
      </c>
      <c r="H103" s="44" t="str">
        <f aca="false">IF(G103="","",IF(G103&lt;0,"OVERDUE",IF(G103=0,"DUE TODAY",IF(G103&lt;=3,"DUE SOON",""))))</f>
        <v/>
      </c>
      <c r="I103" s="43"/>
      <c r="J103" s="43"/>
      <c r="K103" s="41"/>
      <c r="L103" s="41"/>
      <c r="M103" s="41"/>
    </row>
    <row r="104" customFormat="false" ht="18" hidden="false" customHeight="true" outlineLevel="0" collapsed="false">
      <c r="A104" s="40" t="str">
        <f aca="false">IF(B104="","",ROW()-4)</f>
        <v/>
      </c>
      <c r="B104" s="41"/>
      <c r="C104" s="42"/>
      <c r="D104" s="42"/>
      <c r="E104" s="42"/>
      <c r="F104" s="43"/>
      <c r="G104" s="40" t="str">
        <f aca="true">IF(OR(F104="",E104="Done",E104="Cancelled"),"",F104-TODAY())</f>
        <v/>
      </c>
      <c r="H104" s="44" t="str">
        <f aca="false">IF(G104="","",IF(G104&lt;0,"OVERDUE",IF(G104=0,"DUE TODAY",IF(G104&lt;=3,"DUE SOON",""))))</f>
        <v/>
      </c>
      <c r="I104" s="43"/>
      <c r="J104" s="43"/>
      <c r="K104" s="41"/>
      <c r="L104" s="41"/>
      <c r="M104" s="41"/>
    </row>
    <row r="105" customFormat="false" ht="18" hidden="false" customHeight="true" outlineLevel="0" collapsed="false">
      <c r="A105" s="40" t="str">
        <f aca="false">IF(B105="","",ROW()-4)</f>
        <v/>
      </c>
      <c r="B105" s="41"/>
      <c r="C105" s="42"/>
      <c r="D105" s="42"/>
      <c r="E105" s="42"/>
      <c r="F105" s="43"/>
      <c r="G105" s="40" t="str">
        <f aca="true">IF(OR(F105="",E105="Done",E105="Cancelled"),"",F105-TODAY())</f>
        <v/>
      </c>
      <c r="H105" s="44" t="str">
        <f aca="false">IF(G105="","",IF(G105&lt;0,"OVERDUE",IF(G105=0,"DUE TODAY",IF(G105&lt;=3,"DUE SOON",""))))</f>
        <v/>
      </c>
      <c r="I105" s="43"/>
      <c r="J105" s="43"/>
      <c r="K105" s="41"/>
      <c r="L105" s="41"/>
      <c r="M105" s="41"/>
    </row>
    <row r="106" customFormat="false" ht="18" hidden="false" customHeight="true" outlineLevel="0" collapsed="false">
      <c r="A106" s="40" t="str">
        <f aca="false">IF(B106="","",ROW()-4)</f>
        <v/>
      </c>
      <c r="B106" s="41"/>
      <c r="C106" s="42"/>
      <c r="D106" s="42"/>
      <c r="E106" s="42"/>
      <c r="F106" s="43"/>
      <c r="G106" s="40" t="str">
        <f aca="true">IF(OR(F106="",E106="Done",E106="Cancelled"),"",F106-TODAY())</f>
        <v/>
      </c>
      <c r="H106" s="44" t="str">
        <f aca="false">IF(G106="","",IF(G106&lt;0,"OVERDUE",IF(G106=0,"DUE TODAY",IF(G106&lt;=3,"DUE SOON",""))))</f>
        <v/>
      </c>
      <c r="I106" s="43"/>
      <c r="J106" s="43"/>
      <c r="K106" s="41"/>
      <c r="L106" s="41"/>
      <c r="M106" s="41"/>
    </row>
    <row r="107" customFormat="false" ht="18" hidden="false" customHeight="true" outlineLevel="0" collapsed="false">
      <c r="A107" s="40" t="str">
        <f aca="false">IF(B107="","",ROW()-4)</f>
        <v/>
      </c>
      <c r="B107" s="41"/>
      <c r="C107" s="42"/>
      <c r="D107" s="42"/>
      <c r="E107" s="42"/>
      <c r="F107" s="43"/>
      <c r="G107" s="40" t="str">
        <f aca="true">IF(OR(F107="",E107="Done",E107="Cancelled"),"",F107-TODAY())</f>
        <v/>
      </c>
      <c r="H107" s="44" t="str">
        <f aca="false">IF(G107="","",IF(G107&lt;0,"OVERDUE",IF(G107=0,"DUE TODAY",IF(G107&lt;=3,"DUE SOON",""))))</f>
        <v/>
      </c>
      <c r="I107" s="43"/>
      <c r="J107" s="43"/>
      <c r="K107" s="41"/>
      <c r="L107" s="41"/>
      <c r="M107" s="41"/>
    </row>
    <row r="108" customFormat="false" ht="18" hidden="false" customHeight="true" outlineLevel="0" collapsed="false">
      <c r="A108" s="40" t="str">
        <f aca="false">IF(B108="","",ROW()-4)</f>
        <v/>
      </c>
      <c r="B108" s="41"/>
      <c r="C108" s="42"/>
      <c r="D108" s="42"/>
      <c r="E108" s="42"/>
      <c r="F108" s="43"/>
      <c r="G108" s="40" t="str">
        <f aca="true">IF(OR(F108="",E108="Done",E108="Cancelled"),"",F108-TODAY())</f>
        <v/>
      </c>
      <c r="H108" s="44" t="str">
        <f aca="false">IF(G108="","",IF(G108&lt;0,"OVERDUE",IF(G108=0,"DUE TODAY",IF(G108&lt;=3,"DUE SOON",""))))</f>
        <v/>
      </c>
      <c r="I108" s="43"/>
      <c r="J108" s="43"/>
      <c r="K108" s="41"/>
      <c r="L108" s="41"/>
      <c r="M108" s="41"/>
    </row>
    <row r="109" customFormat="false" ht="18" hidden="false" customHeight="true" outlineLevel="0" collapsed="false">
      <c r="A109" s="40" t="str">
        <f aca="false">IF(B109="","",ROW()-4)</f>
        <v/>
      </c>
      <c r="B109" s="41"/>
      <c r="C109" s="42"/>
      <c r="D109" s="42"/>
      <c r="E109" s="42"/>
      <c r="F109" s="43"/>
      <c r="G109" s="40" t="str">
        <f aca="true">IF(OR(F109="",E109="Done",E109="Cancelled"),"",F109-TODAY())</f>
        <v/>
      </c>
      <c r="H109" s="44" t="str">
        <f aca="false">IF(G109="","",IF(G109&lt;0,"OVERDUE",IF(G109=0,"DUE TODAY",IF(G109&lt;=3,"DUE SOON",""))))</f>
        <v/>
      </c>
      <c r="I109" s="43"/>
      <c r="J109" s="43"/>
      <c r="K109" s="41"/>
      <c r="L109" s="41"/>
      <c r="M109" s="41"/>
    </row>
    <row r="110" customFormat="false" ht="18" hidden="false" customHeight="true" outlineLevel="0" collapsed="false">
      <c r="A110" s="40" t="str">
        <f aca="false">IF(B110="","",ROW()-4)</f>
        <v/>
      </c>
      <c r="B110" s="41"/>
      <c r="C110" s="42"/>
      <c r="D110" s="42"/>
      <c r="E110" s="42"/>
      <c r="F110" s="43"/>
      <c r="G110" s="40" t="str">
        <f aca="true">IF(OR(F110="",E110="Done",E110="Cancelled"),"",F110-TODAY())</f>
        <v/>
      </c>
      <c r="H110" s="44" t="str">
        <f aca="false">IF(G110="","",IF(G110&lt;0,"OVERDUE",IF(G110=0,"DUE TODAY",IF(G110&lt;=3,"DUE SOON",""))))</f>
        <v/>
      </c>
      <c r="I110" s="43"/>
      <c r="J110" s="43"/>
      <c r="K110" s="41"/>
      <c r="L110" s="41"/>
      <c r="M110" s="41"/>
    </row>
    <row r="111" customFormat="false" ht="18" hidden="false" customHeight="true" outlineLevel="0" collapsed="false">
      <c r="A111" s="40" t="str">
        <f aca="false">IF(B111="","",ROW()-4)</f>
        <v/>
      </c>
      <c r="B111" s="41"/>
      <c r="C111" s="42"/>
      <c r="D111" s="42"/>
      <c r="E111" s="42"/>
      <c r="F111" s="43"/>
      <c r="G111" s="40" t="str">
        <f aca="true">IF(OR(F111="",E111="Done",E111="Cancelled"),"",F111-TODAY())</f>
        <v/>
      </c>
      <c r="H111" s="44" t="str">
        <f aca="false">IF(G111="","",IF(G111&lt;0,"OVERDUE",IF(G111=0,"DUE TODAY",IF(G111&lt;=3,"DUE SOON",""))))</f>
        <v/>
      </c>
      <c r="I111" s="43"/>
      <c r="J111" s="43"/>
      <c r="K111" s="41"/>
      <c r="L111" s="41"/>
      <c r="M111" s="41"/>
    </row>
    <row r="112" customFormat="false" ht="18" hidden="false" customHeight="true" outlineLevel="0" collapsed="false">
      <c r="A112" s="40" t="str">
        <f aca="false">IF(B112="","",ROW()-4)</f>
        <v/>
      </c>
      <c r="B112" s="41"/>
      <c r="C112" s="42"/>
      <c r="D112" s="42"/>
      <c r="E112" s="42"/>
      <c r="F112" s="43"/>
      <c r="G112" s="40" t="str">
        <f aca="true">IF(OR(F112="",E112="Done",E112="Cancelled"),"",F112-TODAY())</f>
        <v/>
      </c>
      <c r="H112" s="44" t="str">
        <f aca="false">IF(G112="","",IF(G112&lt;0,"OVERDUE",IF(G112=0,"DUE TODAY",IF(G112&lt;=3,"DUE SOON",""))))</f>
        <v/>
      </c>
      <c r="I112" s="43"/>
      <c r="J112" s="43"/>
      <c r="K112" s="41"/>
      <c r="L112" s="41"/>
      <c r="M112" s="41"/>
    </row>
    <row r="113" customFormat="false" ht="18" hidden="false" customHeight="true" outlineLevel="0" collapsed="false">
      <c r="A113" s="40" t="str">
        <f aca="false">IF(B113="","",ROW()-4)</f>
        <v/>
      </c>
      <c r="B113" s="41"/>
      <c r="C113" s="42"/>
      <c r="D113" s="42"/>
      <c r="E113" s="42"/>
      <c r="F113" s="43"/>
      <c r="G113" s="40" t="str">
        <f aca="true">IF(OR(F113="",E113="Done",E113="Cancelled"),"",F113-TODAY())</f>
        <v/>
      </c>
      <c r="H113" s="44" t="str">
        <f aca="false">IF(G113="","",IF(G113&lt;0,"OVERDUE",IF(G113=0,"DUE TODAY",IF(G113&lt;=3,"DUE SOON",""))))</f>
        <v/>
      </c>
      <c r="I113" s="43"/>
      <c r="J113" s="43"/>
      <c r="K113" s="41"/>
      <c r="L113" s="41"/>
      <c r="M113" s="41"/>
    </row>
    <row r="114" customFormat="false" ht="18" hidden="false" customHeight="true" outlineLevel="0" collapsed="false">
      <c r="A114" s="40" t="str">
        <f aca="false">IF(B114="","",ROW()-4)</f>
        <v/>
      </c>
      <c r="B114" s="41"/>
      <c r="C114" s="42"/>
      <c r="D114" s="42"/>
      <c r="E114" s="42"/>
      <c r="F114" s="43"/>
      <c r="G114" s="40" t="str">
        <f aca="true">IF(OR(F114="",E114="Done",E114="Cancelled"),"",F114-TODAY())</f>
        <v/>
      </c>
      <c r="H114" s="44" t="str">
        <f aca="false">IF(G114="","",IF(G114&lt;0,"OVERDUE",IF(G114=0,"DUE TODAY",IF(G114&lt;=3,"DUE SOON",""))))</f>
        <v/>
      </c>
      <c r="I114" s="43"/>
      <c r="J114" s="43"/>
      <c r="K114" s="41"/>
      <c r="L114" s="41"/>
      <c r="M114" s="41"/>
    </row>
    <row r="115" customFormat="false" ht="18" hidden="false" customHeight="true" outlineLevel="0" collapsed="false">
      <c r="A115" s="40" t="str">
        <f aca="false">IF(B115="","",ROW()-4)</f>
        <v/>
      </c>
      <c r="B115" s="41"/>
      <c r="C115" s="42"/>
      <c r="D115" s="42"/>
      <c r="E115" s="42"/>
      <c r="F115" s="43"/>
      <c r="G115" s="40" t="str">
        <f aca="true">IF(OR(F115="",E115="Done",E115="Cancelled"),"",F115-TODAY())</f>
        <v/>
      </c>
      <c r="H115" s="44" t="str">
        <f aca="false">IF(G115="","",IF(G115&lt;0,"OVERDUE",IF(G115=0,"DUE TODAY",IF(G115&lt;=3,"DUE SOON",""))))</f>
        <v/>
      </c>
      <c r="I115" s="43"/>
      <c r="J115" s="43"/>
      <c r="K115" s="41"/>
      <c r="L115" s="41"/>
      <c r="M115" s="41"/>
    </row>
    <row r="116" customFormat="false" ht="18" hidden="false" customHeight="true" outlineLevel="0" collapsed="false">
      <c r="A116" s="40" t="str">
        <f aca="false">IF(B116="","",ROW()-4)</f>
        <v/>
      </c>
      <c r="B116" s="41"/>
      <c r="C116" s="42"/>
      <c r="D116" s="42"/>
      <c r="E116" s="42"/>
      <c r="F116" s="43"/>
      <c r="G116" s="40" t="str">
        <f aca="true">IF(OR(F116="",E116="Done",E116="Cancelled"),"",F116-TODAY())</f>
        <v/>
      </c>
      <c r="H116" s="44" t="str">
        <f aca="false">IF(G116="","",IF(G116&lt;0,"OVERDUE",IF(G116=0,"DUE TODAY",IF(G116&lt;=3,"DUE SOON",""))))</f>
        <v/>
      </c>
      <c r="I116" s="43"/>
      <c r="J116" s="43"/>
      <c r="K116" s="41"/>
      <c r="L116" s="41"/>
      <c r="M116" s="41"/>
    </row>
    <row r="117" customFormat="false" ht="18" hidden="false" customHeight="true" outlineLevel="0" collapsed="false">
      <c r="A117" s="40" t="str">
        <f aca="false">IF(B117="","",ROW()-4)</f>
        <v/>
      </c>
      <c r="B117" s="41"/>
      <c r="C117" s="42"/>
      <c r="D117" s="42"/>
      <c r="E117" s="42"/>
      <c r="F117" s="43"/>
      <c r="G117" s="40" t="str">
        <f aca="true">IF(OR(F117="",E117="Done",E117="Cancelled"),"",F117-TODAY())</f>
        <v/>
      </c>
      <c r="H117" s="44" t="str">
        <f aca="false">IF(G117="","",IF(G117&lt;0,"OVERDUE",IF(G117=0,"DUE TODAY",IF(G117&lt;=3,"DUE SOON",""))))</f>
        <v/>
      </c>
      <c r="I117" s="43"/>
      <c r="J117" s="43"/>
      <c r="K117" s="41"/>
      <c r="L117" s="41"/>
      <c r="M117" s="41"/>
    </row>
    <row r="118" customFormat="false" ht="18" hidden="false" customHeight="true" outlineLevel="0" collapsed="false">
      <c r="A118" s="40" t="str">
        <f aca="false">IF(B118="","",ROW()-4)</f>
        <v/>
      </c>
      <c r="B118" s="41"/>
      <c r="C118" s="42"/>
      <c r="D118" s="42"/>
      <c r="E118" s="42"/>
      <c r="F118" s="43"/>
      <c r="G118" s="40" t="str">
        <f aca="true">IF(OR(F118="",E118="Done",E118="Cancelled"),"",F118-TODAY())</f>
        <v/>
      </c>
      <c r="H118" s="44" t="str">
        <f aca="false">IF(G118="","",IF(G118&lt;0,"OVERDUE",IF(G118=0,"DUE TODAY",IF(G118&lt;=3,"DUE SOON",""))))</f>
        <v/>
      </c>
      <c r="I118" s="43"/>
      <c r="J118" s="43"/>
      <c r="K118" s="41"/>
      <c r="L118" s="41"/>
      <c r="M118" s="41"/>
    </row>
    <row r="119" customFormat="false" ht="18" hidden="false" customHeight="true" outlineLevel="0" collapsed="false">
      <c r="A119" s="40" t="str">
        <f aca="false">IF(B119="","",ROW()-4)</f>
        <v/>
      </c>
      <c r="B119" s="41"/>
      <c r="C119" s="42"/>
      <c r="D119" s="42"/>
      <c r="E119" s="42"/>
      <c r="F119" s="43"/>
      <c r="G119" s="40" t="str">
        <f aca="true">IF(OR(F119="",E119="Done",E119="Cancelled"),"",F119-TODAY())</f>
        <v/>
      </c>
      <c r="H119" s="44" t="str">
        <f aca="false">IF(G119="","",IF(G119&lt;0,"OVERDUE",IF(G119=0,"DUE TODAY",IF(G119&lt;=3,"DUE SOON",""))))</f>
        <v/>
      </c>
      <c r="I119" s="43"/>
      <c r="J119" s="43"/>
      <c r="K119" s="41"/>
      <c r="L119" s="41"/>
      <c r="M119" s="41"/>
    </row>
    <row r="120" customFormat="false" ht="18" hidden="false" customHeight="true" outlineLevel="0" collapsed="false">
      <c r="A120" s="40" t="str">
        <f aca="false">IF(B120="","",ROW()-4)</f>
        <v/>
      </c>
      <c r="B120" s="41"/>
      <c r="C120" s="42"/>
      <c r="D120" s="42"/>
      <c r="E120" s="42"/>
      <c r="F120" s="43"/>
      <c r="G120" s="40" t="str">
        <f aca="true">IF(OR(F120="",E120="Done",E120="Cancelled"),"",F120-TODAY())</f>
        <v/>
      </c>
      <c r="H120" s="44" t="str">
        <f aca="false">IF(G120="","",IF(G120&lt;0,"OVERDUE",IF(G120=0,"DUE TODAY",IF(G120&lt;=3,"DUE SOON",""))))</f>
        <v/>
      </c>
      <c r="I120" s="43"/>
      <c r="J120" s="43"/>
      <c r="K120" s="41"/>
      <c r="L120" s="41"/>
      <c r="M120" s="41"/>
    </row>
    <row r="121" customFormat="false" ht="18" hidden="false" customHeight="true" outlineLevel="0" collapsed="false">
      <c r="A121" s="40" t="str">
        <f aca="false">IF(B121="","",ROW()-4)</f>
        <v/>
      </c>
      <c r="B121" s="41"/>
      <c r="C121" s="42"/>
      <c r="D121" s="42"/>
      <c r="E121" s="42"/>
      <c r="F121" s="43"/>
      <c r="G121" s="40" t="str">
        <f aca="true">IF(OR(F121="",E121="Done",E121="Cancelled"),"",F121-TODAY())</f>
        <v/>
      </c>
      <c r="H121" s="44" t="str">
        <f aca="false">IF(G121="","",IF(G121&lt;0,"OVERDUE",IF(G121=0,"DUE TODAY",IF(G121&lt;=3,"DUE SOON",""))))</f>
        <v/>
      </c>
      <c r="I121" s="43"/>
      <c r="J121" s="43"/>
      <c r="K121" s="41"/>
      <c r="L121" s="41"/>
      <c r="M121" s="41"/>
    </row>
    <row r="122" customFormat="false" ht="18" hidden="false" customHeight="true" outlineLevel="0" collapsed="false">
      <c r="A122" s="40" t="str">
        <f aca="false">IF(B122="","",ROW()-4)</f>
        <v/>
      </c>
      <c r="B122" s="41"/>
      <c r="C122" s="42"/>
      <c r="D122" s="42"/>
      <c r="E122" s="42"/>
      <c r="F122" s="43"/>
      <c r="G122" s="40" t="str">
        <f aca="true">IF(OR(F122="",E122="Done",E122="Cancelled"),"",F122-TODAY())</f>
        <v/>
      </c>
      <c r="H122" s="44" t="str">
        <f aca="false">IF(G122="","",IF(G122&lt;0,"OVERDUE",IF(G122=0,"DUE TODAY",IF(G122&lt;=3,"DUE SOON",""))))</f>
        <v/>
      </c>
      <c r="I122" s="43"/>
      <c r="J122" s="43"/>
      <c r="K122" s="41"/>
      <c r="L122" s="41"/>
      <c r="M122" s="41"/>
    </row>
    <row r="123" customFormat="false" ht="18" hidden="false" customHeight="true" outlineLevel="0" collapsed="false">
      <c r="A123" s="40" t="str">
        <f aca="false">IF(B123="","",ROW()-4)</f>
        <v/>
      </c>
      <c r="B123" s="41"/>
      <c r="C123" s="42"/>
      <c r="D123" s="42"/>
      <c r="E123" s="42"/>
      <c r="F123" s="43"/>
      <c r="G123" s="40" t="str">
        <f aca="true">IF(OR(F123="",E123="Done",E123="Cancelled"),"",F123-TODAY())</f>
        <v/>
      </c>
      <c r="H123" s="44" t="str">
        <f aca="false">IF(G123="","",IF(G123&lt;0,"OVERDUE",IF(G123=0,"DUE TODAY",IF(G123&lt;=3,"DUE SOON",""))))</f>
        <v/>
      </c>
      <c r="I123" s="43"/>
      <c r="J123" s="43"/>
      <c r="K123" s="41"/>
      <c r="L123" s="41"/>
      <c r="M123" s="41"/>
    </row>
    <row r="124" customFormat="false" ht="18" hidden="false" customHeight="true" outlineLevel="0" collapsed="false">
      <c r="A124" s="40" t="str">
        <f aca="false">IF(B124="","",ROW()-4)</f>
        <v/>
      </c>
      <c r="B124" s="41"/>
      <c r="C124" s="42"/>
      <c r="D124" s="42"/>
      <c r="E124" s="42"/>
      <c r="F124" s="43"/>
      <c r="G124" s="40" t="str">
        <f aca="true">IF(OR(F124="",E124="Done",E124="Cancelled"),"",F124-TODAY())</f>
        <v/>
      </c>
      <c r="H124" s="44" t="str">
        <f aca="false">IF(G124="","",IF(G124&lt;0,"OVERDUE",IF(G124=0,"DUE TODAY",IF(G124&lt;=3,"DUE SOON",""))))</f>
        <v/>
      </c>
      <c r="I124" s="43"/>
      <c r="J124" s="43"/>
      <c r="K124" s="41"/>
      <c r="L124" s="41"/>
      <c r="M124" s="41"/>
    </row>
    <row r="125" customFormat="false" ht="18" hidden="false" customHeight="true" outlineLevel="0" collapsed="false">
      <c r="A125" s="40" t="str">
        <f aca="false">IF(B125="","",ROW()-4)</f>
        <v/>
      </c>
      <c r="B125" s="41"/>
      <c r="C125" s="42"/>
      <c r="D125" s="42"/>
      <c r="E125" s="42"/>
      <c r="F125" s="43"/>
      <c r="G125" s="40" t="str">
        <f aca="true">IF(OR(F125="",E125="Done",E125="Cancelled"),"",F125-TODAY())</f>
        <v/>
      </c>
      <c r="H125" s="44" t="str">
        <f aca="false">IF(G125="","",IF(G125&lt;0,"OVERDUE",IF(G125=0,"DUE TODAY",IF(G125&lt;=3,"DUE SOON",""))))</f>
        <v/>
      </c>
      <c r="I125" s="43"/>
      <c r="J125" s="43"/>
      <c r="K125" s="41"/>
      <c r="L125" s="41"/>
      <c r="M125" s="41"/>
    </row>
    <row r="126" customFormat="false" ht="18" hidden="false" customHeight="true" outlineLevel="0" collapsed="false">
      <c r="A126" s="40" t="str">
        <f aca="false">IF(B126="","",ROW()-4)</f>
        <v/>
      </c>
      <c r="B126" s="41"/>
      <c r="C126" s="42"/>
      <c r="D126" s="42"/>
      <c r="E126" s="42"/>
      <c r="F126" s="43"/>
      <c r="G126" s="40" t="str">
        <f aca="true">IF(OR(F126="",E126="Done",E126="Cancelled"),"",F126-TODAY())</f>
        <v/>
      </c>
      <c r="H126" s="44" t="str">
        <f aca="false">IF(G126="","",IF(G126&lt;0,"OVERDUE",IF(G126=0,"DUE TODAY",IF(G126&lt;=3,"DUE SOON",""))))</f>
        <v/>
      </c>
      <c r="I126" s="43"/>
      <c r="J126" s="43"/>
      <c r="K126" s="41"/>
      <c r="L126" s="41"/>
      <c r="M126" s="41"/>
    </row>
    <row r="127" customFormat="false" ht="18" hidden="false" customHeight="true" outlineLevel="0" collapsed="false">
      <c r="A127" s="40" t="str">
        <f aca="false">IF(B127="","",ROW()-4)</f>
        <v/>
      </c>
      <c r="B127" s="41"/>
      <c r="C127" s="42"/>
      <c r="D127" s="42"/>
      <c r="E127" s="42"/>
      <c r="F127" s="43"/>
      <c r="G127" s="40" t="str">
        <f aca="true">IF(OR(F127="",E127="Done",E127="Cancelled"),"",F127-TODAY())</f>
        <v/>
      </c>
      <c r="H127" s="44" t="str">
        <f aca="false">IF(G127="","",IF(G127&lt;0,"OVERDUE",IF(G127=0,"DUE TODAY",IF(G127&lt;=3,"DUE SOON",""))))</f>
        <v/>
      </c>
      <c r="I127" s="43"/>
      <c r="J127" s="43"/>
      <c r="K127" s="41"/>
      <c r="L127" s="41"/>
      <c r="M127" s="41"/>
    </row>
    <row r="128" customFormat="false" ht="18" hidden="false" customHeight="true" outlineLevel="0" collapsed="false">
      <c r="A128" s="40" t="str">
        <f aca="false">IF(B128="","",ROW()-4)</f>
        <v/>
      </c>
      <c r="B128" s="41"/>
      <c r="C128" s="42"/>
      <c r="D128" s="42"/>
      <c r="E128" s="42"/>
      <c r="F128" s="43"/>
      <c r="G128" s="40" t="str">
        <f aca="true">IF(OR(F128="",E128="Done",E128="Cancelled"),"",F128-TODAY())</f>
        <v/>
      </c>
      <c r="H128" s="44" t="str">
        <f aca="false">IF(G128="","",IF(G128&lt;0,"OVERDUE",IF(G128=0,"DUE TODAY",IF(G128&lt;=3,"DUE SOON",""))))</f>
        <v/>
      </c>
      <c r="I128" s="43"/>
      <c r="J128" s="43"/>
      <c r="K128" s="41"/>
      <c r="L128" s="41"/>
      <c r="M128" s="41"/>
    </row>
    <row r="129" customFormat="false" ht="18" hidden="false" customHeight="true" outlineLevel="0" collapsed="false">
      <c r="A129" s="40" t="str">
        <f aca="false">IF(B129="","",ROW()-4)</f>
        <v/>
      </c>
      <c r="B129" s="41"/>
      <c r="C129" s="42"/>
      <c r="D129" s="42"/>
      <c r="E129" s="42"/>
      <c r="F129" s="43"/>
      <c r="G129" s="40" t="str">
        <f aca="true">IF(OR(F129="",E129="Done",E129="Cancelled"),"",F129-TODAY())</f>
        <v/>
      </c>
      <c r="H129" s="44" t="str">
        <f aca="false">IF(G129="","",IF(G129&lt;0,"OVERDUE",IF(G129=0,"DUE TODAY",IF(G129&lt;=3,"DUE SOON",""))))</f>
        <v/>
      </c>
      <c r="I129" s="43"/>
      <c r="J129" s="43"/>
      <c r="K129" s="41"/>
      <c r="L129" s="41"/>
      <c r="M129" s="41"/>
    </row>
    <row r="130" customFormat="false" ht="18" hidden="false" customHeight="true" outlineLevel="0" collapsed="false">
      <c r="A130" s="40" t="str">
        <f aca="false">IF(B130="","",ROW()-4)</f>
        <v/>
      </c>
      <c r="B130" s="41"/>
      <c r="C130" s="42"/>
      <c r="D130" s="42"/>
      <c r="E130" s="42"/>
      <c r="F130" s="43"/>
      <c r="G130" s="40" t="str">
        <f aca="true">IF(OR(F130="",E130="Done",E130="Cancelled"),"",F130-TODAY())</f>
        <v/>
      </c>
      <c r="H130" s="44" t="str">
        <f aca="false">IF(G130="","",IF(G130&lt;0,"OVERDUE",IF(G130=0,"DUE TODAY",IF(G130&lt;=3,"DUE SOON",""))))</f>
        <v/>
      </c>
      <c r="I130" s="43"/>
      <c r="J130" s="43"/>
      <c r="K130" s="41"/>
      <c r="L130" s="41"/>
      <c r="M130" s="41"/>
    </row>
    <row r="131" customFormat="false" ht="18" hidden="false" customHeight="true" outlineLevel="0" collapsed="false">
      <c r="A131" s="40" t="str">
        <f aca="false">IF(B131="","",ROW()-4)</f>
        <v/>
      </c>
      <c r="B131" s="41"/>
      <c r="C131" s="42"/>
      <c r="D131" s="42"/>
      <c r="E131" s="42"/>
      <c r="F131" s="43"/>
      <c r="G131" s="40" t="str">
        <f aca="true">IF(OR(F131="",E131="Done",E131="Cancelled"),"",F131-TODAY())</f>
        <v/>
      </c>
      <c r="H131" s="44" t="str">
        <f aca="false">IF(G131="","",IF(G131&lt;0,"OVERDUE",IF(G131=0,"DUE TODAY",IF(G131&lt;=3,"DUE SOON",""))))</f>
        <v/>
      </c>
      <c r="I131" s="43"/>
      <c r="J131" s="43"/>
      <c r="K131" s="41"/>
      <c r="L131" s="41"/>
      <c r="M131" s="41"/>
    </row>
    <row r="132" customFormat="false" ht="18" hidden="false" customHeight="true" outlineLevel="0" collapsed="false">
      <c r="A132" s="40" t="str">
        <f aca="false">IF(B132="","",ROW()-4)</f>
        <v/>
      </c>
      <c r="B132" s="41"/>
      <c r="C132" s="42"/>
      <c r="D132" s="42"/>
      <c r="E132" s="42"/>
      <c r="F132" s="43"/>
      <c r="G132" s="40" t="str">
        <f aca="true">IF(OR(F132="",E132="Done",E132="Cancelled"),"",F132-TODAY())</f>
        <v/>
      </c>
      <c r="H132" s="44" t="str">
        <f aca="false">IF(G132="","",IF(G132&lt;0,"OVERDUE",IF(G132=0,"DUE TODAY",IF(G132&lt;=3,"DUE SOON",""))))</f>
        <v/>
      </c>
      <c r="I132" s="43"/>
      <c r="J132" s="43"/>
      <c r="K132" s="41"/>
      <c r="L132" s="41"/>
      <c r="M132" s="41"/>
    </row>
    <row r="133" customFormat="false" ht="18" hidden="false" customHeight="true" outlineLevel="0" collapsed="false">
      <c r="A133" s="40" t="str">
        <f aca="false">IF(B133="","",ROW()-4)</f>
        <v/>
      </c>
      <c r="B133" s="41"/>
      <c r="C133" s="42"/>
      <c r="D133" s="42"/>
      <c r="E133" s="42"/>
      <c r="F133" s="43"/>
      <c r="G133" s="40" t="str">
        <f aca="true">IF(OR(F133="",E133="Done",E133="Cancelled"),"",F133-TODAY())</f>
        <v/>
      </c>
      <c r="H133" s="44" t="str">
        <f aca="false">IF(G133="","",IF(G133&lt;0,"OVERDUE",IF(G133=0,"DUE TODAY",IF(G133&lt;=3,"DUE SOON",""))))</f>
        <v/>
      </c>
      <c r="I133" s="43"/>
      <c r="J133" s="43"/>
      <c r="K133" s="41"/>
      <c r="L133" s="41"/>
      <c r="M133" s="41"/>
    </row>
    <row r="134" customFormat="false" ht="18" hidden="false" customHeight="true" outlineLevel="0" collapsed="false">
      <c r="A134" s="40" t="str">
        <f aca="false">IF(B134="","",ROW()-4)</f>
        <v/>
      </c>
      <c r="B134" s="41"/>
      <c r="C134" s="42"/>
      <c r="D134" s="42"/>
      <c r="E134" s="42"/>
      <c r="F134" s="43"/>
      <c r="G134" s="40" t="str">
        <f aca="true">IF(OR(F134="",E134="Done",E134="Cancelled"),"",F134-TODAY())</f>
        <v/>
      </c>
      <c r="H134" s="44" t="str">
        <f aca="false">IF(G134="","",IF(G134&lt;0,"OVERDUE",IF(G134=0,"DUE TODAY",IF(G134&lt;=3,"DUE SOON",""))))</f>
        <v/>
      </c>
      <c r="I134" s="43"/>
      <c r="J134" s="43"/>
      <c r="K134" s="41"/>
      <c r="L134" s="41"/>
      <c r="M134" s="41"/>
    </row>
    <row r="135" customFormat="false" ht="18" hidden="false" customHeight="true" outlineLevel="0" collapsed="false">
      <c r="A135" s="40" t="str">
        <f aca="false">IF(B135="","",ROW()-4)</f>
        <v/>
      </c>
      <c r="B135" s="41"/>
      <c r="C135" s="42"/>
      <c r="D135" s="42"/>
      <c r="E135" s="42"/>
      <c r="F135" s="43"/>
      <c r="G135" s="40" t="str">
        <f aca="true">IF(OR(F135="",E135="Done",E135="Cancelled"),"",F135-TODAY())</f>
        <v/>
      </c>
      <c r="H135" s="44" t="str">
        <f aca="false">IF(G135="","",IF(G135&lt;0,"OVERDUE",IF(G135=0,"DUE TODAY",IF(G135&lt;=3,"DUE SOON",""))))</f>
        <v/>
      </c>
      <c r="I135" s="43"/>
      <c r="J135" s="43"/>
      <c r="K135" s="41"/>
      <c r="L135" s="41"/>
      <c r="M135" s="41"/>
    </row>
    <row r="136" customFormat="false" ht="18" hidden="false" customHeight="true" outlineLevel="0" collapsed="false">
      <c r="A136" s="40" t="str">
        <f aca="false">IF(B136="","",ROW()-4)</f>
        <v/>
      </c>
      <c r="B136" s="41"/>
      <c r="C136" s="42"/>
      <c r="D136" s="42"/>
      <c r="E136" s="42"/>
      <c r="F136" s="43"/>
      <c r="G136" s="40" t="str">
        <f aca="true">IF(OR(F136="",E136="Done",E136="Cancelled"),"",F136-TODAY())</f>
        <v/>
      </c>
      <c r="H136" s="44" t="str">
        <f aca="false">IF(G136="","",IF(G136&lt;0,"OVERDUE",IF(G136=0,"DUE TODAY",IF(G136&lt;=3,"DUE SOON",""))))</f>
        <v/>
      </c>
      <c r="I136" s="43"/>
      <c r="J136" s="43"/>
      <c r="K136" s="41"/>
      <c r="L136" s="41"/>
      <c r="M136" s="41"/>
    </row>
    <row r="137" customFormat="false" ht="18" hidden="false" customHeight="true" outlineLevel="0" collapsed="false">
      <c r="A137" s="40" t="str">
        <f aca="false">IF(B137="","",ROW()-4)</f>
        <v/>
      </c>
      <c r="B137" s="41"/>
      <c r="C137" s="42"/>
      <c r="D137" s="42"/>
      <c r="E137" s="42"/>
      <c r="F137" s="43"/>
      <c r="G137" s="40" t="str">
        <f aca="true">IF(OR(F137="",E137="Done",E137="Cancelled"),"",F137-TODAY())</f>
        <v/>
      </c>
      <c r="H137" s="44" t="str">
        <f aca="false">IF(G137="","",IF(G137&lt;0,"OVERDUE",IF(G137=0,"DUE TODAY",IF(G137&lt;=3,"DUE SOON",""))))</f>
        <v/>
      </c>
      <c r="I137" s="43"/>
      <c r="J137" s="43"/>
      <c r="K137" s="41"/>
      <c r="L137" s="41"/>
      <c r="M137" s="41"/>
    </row>
    <row r="138" customFormat="false" ht="18" hidden="false" customHeight="true" outlineLevel="0" collapsed="false">
      <c r="A138" s="40" t="str">
        <f aca="false">IF(B138="","",ROW()-4)</f>
        <v/>
      </c>
      <c r="B138" s="41"/>
      <c r="C138" s="42"/>
      <c r="D138" s="42"/>
      <c r="E138" s="42"/>
      <c r="F138" s="43"/>
      <c r="G138" s="40" t="str">
        <f aca="true">IF(OR(F138="",E138="Done",E138="Cancelled"),"",F138-TODAY())</f>
        <v/>
      </c>
      <c r="H138" s="44" t="str">
        <f aca="false">IF(G138="","",IF(G138&lt;0,"OVERDUE",IF(G138=0,"DUE TODAY",IF(G138&lt;=3,"DUE SOON",""))))</f>
        <v/>
      </c>
      <c r="I138" s="43"/>
      <c r="J138" s="43"/>
      <c r="K138" s="41"/>
      <c r="L138" s="41"/>
      <c r="M138" s="41"/>
    </row>
    <row r="139" customFormat="false" ht="18" hidden="false" customHeight="true" outlineLevel="0" collapsed="false">
      <c r="A139" s="40" t="str">
        <f aca="false">IF(B139="","",ROW()-4)</f>
        <v/>
      </c>
      <c r="B139" s="41"/>
      <c r="C139" s="42"/>
      <c r="D139" s="42"/>
      <c r="E139" s="42"/>
      <c r="F139" s="43"/>
      <c r="G139" s="40" t="str">
        <f aca="true">IF(OR(F139="",E139="Done",E139="Cancelled"),"",F139-TODAY())</f>
        <v/>
      </c>
      <c r="H139" s="44" t="str">
        <f aca="false">IF(G139="","",IF(G139&lt;0,"OVERDUE",IF(G139=0,"DUE TODAY",IF(G139&lt;=3,"DUE SOON",""))))</f>
        <v/>
      </c>
      <c r="I139" s="43"/>
      <c r="J139" s="43"/>
      <c r="K139" s="41"/>
      <c r="L139" s="41"/>
      <c r="M139" s="41"/>
    </row>
    <row r="140" customFormat="false" ht="18" hidden="false" customHeight="true" outlineLevel="0" collapsed="false">
      <c r="A140" s="40" t="str">
        <f aca="false">IF(B140="","",ROW()-4)</f>
        <v/>
      </c>
      <c r="B140" s="41"/>
      <c r="C140" s="42"/>
      <c r="D140" s="42"/>
      <c r="E140" s="42"/>
      <c r="F140" s="43"/>
      <c r="G140" s="40" t="str">
        <f aca="true">IF(OR(F140="",E140="Done",E140="Cancelled"),"",F140-TODAY())</f>
        <v/>
      </c>
      <c r="H140" s="44" t="str">
        <f aca="false">IF(G140="","",IF(G140&lt;0,"OVERDUE",IF(G140=0,"DUE TODAY",IF(G140&lt;=3,"DUE SOON",""))))</f>
        <v/>
      </c>
      <c r="I140" s="43"/>
      <c r="J140" s="43"/>
      <c r="K140" s="41"/>
      <c r="L140" s="41"/>
      <c r="M140" s="41"/>
    </row>
    <row r="141" customFormat="false" ht="18" hidden="false" customHeight="true" outlineLevel="0" collapsed="false">
      <c r="A141" s="40" t="str">
        <f aca="false">IF(B141="","",ROW()-4)</f>
        <v/>
      </c>
      <c r="B141" s="41"/>
      <c r="C141" s="42"/>
      <c r="D141" s="42"/>
      <c r="E141" s="42"/>
      <c r="F141" s="43"/>
      <c r="G141" s="40" t="str">
        <f aca="true">IF(OR(F141="",E141="Done",E141="Cancelled"),"",F141-TODAY())</f>
        <v/>
      </c>
      <c r="H141" s="44" t="str">
        <f aca="false">IF(G141="","",IF(G141&lt;0,"OVERDUE",IF(G141=0,"DUE TODAY",IF(G141&lt;=3,"DUE SOON",""))))</f>
        <v/>
      </c>
      <c r="I141" s="43"/>
      <c r="J141" s="43"/>
      <c r="K141" s="41"/>
      <c r="L141" s="41"/>
      <c r="M141" s="41"/>
    </row>
    <row r="142" customFormat="false" ht="18" hidden="false" customHeight="true" outlineLevel="0" collapsed="false">
      <c r="A142" s="40" t="str">
        <f aca="false">IF(B142="","",ROW()-4)</f>
        <v/>
      </c>
      <c r="B142" s="41"/>
      <c r="C142" s="42"/>
      <c r="D142" s="42"/>
      <c r="E142" s="42"/>
      <c r="F142" s="43"/>
      <c r="G142" s="40" t="str">
        <f aca="true">IF(OR(F142="",E142="Done",E142="Cancelled"),"",F142-TODAY())</f>
        <v/>
      </c>
      <c r="H142" s="44" t="str">
        <f aca="false">IF(G142="","",IF(G142&lt;0,"OVERDUE",IF(G142=0,"DUE TODAY",IF(G142&lt;=3,"DUE SOON",""))))</f>
        <v/>
      </c>
      <c r="I142" s="43"/>
      <c r="J142" s="43"/>
      <c r="K142" s="41"/>
      <c r="L142" s="41"/>
      <c r="M142" s="41"/>
    </row>
    <row r="143" customFormat="false" ht="18" hidden="false" customHeight="true" outlineLevel="0" collapsed="false">
      <c r="A143" s="40" t="str">
        <f aca="false">IF(B143="","",ROW()-4)</f>
        <v/>
      </c>
      <c r="B143" s="41"/>
      <c r="C143" s="42"/>
      <c r="D143" s="42"/>
      <c r="E143" s="42"/>
      <c r="F143" s="43"/>
      <c r="G143" s="40" t="str">
        <f aca="true">IF(OR(F143="",E143="Done",E143="Cancelled"),"",F143-TODAY())</f>
        <v/>
      </c>
      <c r="H143" s="44" t="str">
        <f aca="false">IF(G143="","",IF(G143&lt;0,"OVERDUE",IF(G143=0,"DUE TODAY",IF(G143&lt;=3,"DUE SOON",""))))</f>
        <v/>
      </c>
      <c r="I143" s="43"/>
      <c r="J143" s="43"/>
      <c r="K143" s="41"/>
      <c r="L143" s="41"/>
      <c r="M143" s="41"/>
    </row>
    <row r="144" customFormat="false" ht="18" hidden="false" customHeight="true" outlineLevel="0" collapsed="false">
      <c r="A144" s="40" t="str">
        <f aca="false">IF(B144="","",ROW()-4)</f>
        <v/>
      </c>
      <c r="B144" s="41"/>
      <c r="C144" s="42"/>
      <c r="D144" s="42"/>
      <c r="E144" s="42"/>
      <c r="F144" s="43"/>
      <c r="G144" s="40" t="str">
        <f aca="true">IF(OR(F144="",E144="Done",E144="Cancelled"),"",F144-TODAY())</f>
        <v/>
      </c>
      <c r="H144" s="44" t="str">
        <f aca="false">IF(G144="","",IF(G144&lt;0,"OVERDUE",IF(G144=0,"DUE TODAY",IF(G144&lt;=3,"DUE SOON",""))))</f>
        <v/>
      </c>
      <c r="I144" s="43"/>
      <c r="J144" s="43"/>
      <c r="K144" s="41"/>
      <c r="L144" s="41"/>
      <c r="M144" s="41"/>
    </row>
    <row r="145" customFormat="false" ht="18" hidden="false" customHeight="true" outlineLevel="0" collapsed="false">
      <c r="A145" s="40" t="str">
        <f aca="false">IF(B145="","",ROW()-4)</f>
        <v/>
      </c>
      <c r="B145" s="41"/>
      <c r="C145" s="42"/>
      <c r="D145" s="42"/>
      <c r="E145" s="42"/>
      <c r="F145" s="43"/>
      <c r="G145" s="40" t="str">
        <f aca="true">IF(OR(F145="",E145="Done",E145="Cancelled"),"",F145-TODAY())</f>
        <v/>
      </c>
      <c r="H145" s="44" t="str">
        <f aca="false">IF(G145="","",IF(G145&lt;0,"OVERDUE",IF(G145=0,"DUE TODAY",IF(G145&lt;=3,"DUE SOON",""))))</f>
        <v/>
      </c>
      <c r="I145" s="43"/>
      <c r="J145" s="43"/>
      <c r="K145" s="41"/>
      <c r="L145" s="41"/>
      <c r="M145" s="41"/>
    </row>
    <row r="146" customFormat="false" ht="18" hidden="false" customHeight="true" outlineLevel="0" collapsed="false">
      <c r="A146" s="40" t="str">
        <f aca="false">IF(B146="","",ROW()-4)</f>
        <v/>
      </c>
      <c r="B146" s="41"/>
      <c r="C146" s="42"/>
      <c r="D146" s="42"/>
      <c r="E146" s="42"/>
      <c r="F146" s="43"/>
      <c r="G146" s="40" t="str">
        <f aca="true">IF(OR(F146="",E146="Done",E146="Cancelled"),"",F146-TODAY())</f>
        <v/>
      </c>
      <c r="H146" s="44" t="str">
        <f aca="false">IF(G146="","",IF(G146&lt;0,"OVERDUE",IF(G146=0,"DUE TODAY",IF(G146&lt;=3,"DUE SOON",""))))</f>
        <v/>
      </c>
      <c r="I146" s="43"/>
      <c r="J146" s="43"/>
      <c r="K146" s="41"/>
      <c r="L146" s="41"/>
      <c r="M146" s="41"/>
    </row>
    <row r="147" customFormat="false" ht="18" hidden="false" customHeight="true" outlineLevel="0" collapsed="false">
      <c r="A147" s="40" t="str">
        <f aca="false">IF(B147="","",ROW()-4)</f>
        <v/>
      </c>
      <c r="B147" s="41"/>
      <c r="C147" s="42"/>
      <c r="D147" s="42"/>
      <c r="E147" s="42"/>
      <c r="F147" s="43"/>
      <c r="G147" s="40" t="str">
        <f aca="true">IF(OR(F147="",E147="Done",E147="Cancelled"),"",F147-TODAY())</f>
        <v/>
      </c>
      <c r="H147" s="44" t="str">
        <f aca="false">IF(G147="","",IF(G147&lt;0,"OVERDUE",IF(G147=0,"DUE TODAY",IF(G147&lt;=3,"DUE SOON",""))))</f>
        <v/>
      </c>
      <c r="I147" s="43"/>
      <c r="J147" s="43"/>
      <c r="K147" s="41"/>
      <c r="L147" s="41"/>
      <c r="M147" s="41"/>
    </row>
    <row r="148" customFormat="false" ht="18" hidden="false" customHeight="true" outlineLevel="0" collapsed="false">
      <c r="A148" s="40" t="str">
        <f aca="false">IF(B148="","",ROW()-4)</f>
        <v/>
      </c>
      <c r="B148" s="41"/>
      <c r="C148" s="42"/>
      <c r="D148" s="42"/>
      <c r="E148" s="42"/>
      <c r="F148" s="43"/>
      <c r="G148" s="40" t="str">
        <f aca="true">IF(OR(F148="",E148="Done",E148="Cancelled"),"",F148-TODAY())</f>
        <v/>
      </c>
      <c r="H148" s="44" t="str">
        <f aca="false">IF(G148="","",IF(G148&lt;0,"OVERDUE",IF(G148=0,"DUE TODAY",IF(G148&lt;=3,"DUE SOON",""))))</f>
        <v/>
      </c>
      <c r="I148" s="43"/>
      <c r="J148" s="43"/>
      <c r="K148" s="41"/>
      <c r="L148" s="41"/>
      <c r="M148" s="41"/>
    </row>
    <row r="149" customFormat="false" ht="18" hidden="false" customHeight="true" outlineLevel="0" collapsed="false">
      <c r="A149" s="40" t="str">
        <f aca="false">IF(B149="","",ROW()-4)</f>
        <v/>
      </c>
      <c r="B149" s="41"/>
      <c r="C149" s="42"/>
      <c r="D149" s="42"/>
      <c r="E149" s="42"/>
      <c r="F149" s="43"/>
      <c r="G149" s="40" t="str">
        <f aca="true">IF(OR(F149="",E149="Done",E149="Cancelled"),"",F149-TODAY())</f>
        <v/>
      </c>
      <c r="H149" s="44" t="str">
        <f aca="false">IF(G149="","",IF(G149&lt;0,"OVERDUE",IF(G149=0,"DUE TODAY",IF(G149&lt;=3,"DUE SOON",""))))</f>
        <v/>
      </c>
      <c r="I149" s="43"/>
      <c r="J149" s="43"/>
      <c r="K149" s="41"/>
      <c r="L149" s="41"/>
      <c r="M149" s="41"/>
    </row>
    <row r="150" customFormat="false" ht="18" hidden="false" customHeight="true" outlineLevel="0" collapsed="false">
      <c r="A150" s="40" t="str">
        <f aca="false">IF(B150="","",ROW()-4)</f>
        <v/>
      </c>
      <c r="B150" s="41"/>
      <c r="C150" s="42"/>
      <c r="D150" s="42"/>
      <c r="E150" s="42"/>
      <c r="F150" s="43"/>
      <c r="G150" s="40" t="str">
        <f aca="true">IF(OR(F150="",E150="Done",E150="Cancelled"),"",F150-TODAY())</f>
        <v/>
      </c>
      <c r="H150" s="44" t="str">
        <f aca="false">IF(G150="","",IF(G150&lt;0,"OVERDUE",IF(G150=0,"DUE TODAY",IF(G150&lt;=3,"DUE SOON",""))))</f>
        <v/>
      </c>
      <c r="I150" s="43"/>
      <c r="J150" s="43"/>
      <c r="K150" s="41"/>
      <c r="L150" s="41"/>
      <c r="M150" s="41"/>
    </row>
    <row r="151" customFormat="false" ht="18" hidden="false" customHeight="true" outlineLevel="0" collapsed="false">
      <c r="A151" s="40" t="str">
        <f aca="false">IF(B151="","",ROW()-4)</f>
        <v/>
      </c>
      <c r="B151" s="41"/>
      <c r="C151" s="42"/>
      <c r="D151" s="42"/>
      <c r="E151" s="42"/>
      <c r="F151" s="43"/>
      <c r="G151" s="40" t="str">
        <f aca="true">IF(OR(F151="",E151="Done",E151="Cancelled"),"",F151-TODAY())</f>
        <v/>
      </c>
      <c r="H151" s="44" t="str">
        <f aca="false">IF(G151="","",IF(G151&lt;0,"OVERDUE",IF(G151=0,"DUE TODAY",IF(G151&lt;=3,"DUE SOON",""))))</f>
        <v/>
      </c>
      <c r="I151" s="43"/>
      <c r="J151" s="43"/>
      <c r="K151" s="41"/>
      <c r="L151" s="41"/>
      <c r="M151" s="41"/>
    </row>
    <row r="152" customFormat="false" ht="18" hidden="false" customHeight="true" outlineLevel="0" collapsed="false">
      <c r="A152" s="40" t="str">
        <f aca="false">IF(B152="","",ROW()-4)</f>
        <v/>
      </c>
      <c r="B152" s="41"/>
      <c r="C152" s="42"/>
      <c r="D152" s="42"/>
      <c r="E152" s="42"/>
      <c r="F152" s="43"/>
      <c r="G152" s="40" t="str">
        <f aca="true">IF(OR(F152="",E152="Done",E152="Cancelled"),"",F152-TODAY())</f>
        <v/>
      </c>
      <c r="H152" s="44" t="str">
        <f aca="false">IF(G152="","",IF(G152&lt;0,"OVERDUE",IF(G152=0,"DUE TODAY",IF(G152&lt;=3,"DUE SOON",""))))</f>
        <v/>
      </c>
      <c r="I152" s="43"/>
      <c r="J152" s="43"/>
      <c r="K152" s="41"/>
      <c r="L152" s="41"/>
      <c r="M152" s="41"/>
    </row>
    <row r="153" customFormat="false" ht="18" hidden="false" customHeight="true" outlineLevel="0" collapsed="false">
      <c r="A153" s="40" t="str">
        <f aca="false">IF(B153="","",ROW()-4)</f>
        <v/>
      </c>
      <c r="B153" s="41"/>
      <c r="C153" s="42"/>
      <c r="D153" s="42"/>
      <c r="E153" s="42"/>
      <c r="F153" s="43"/>
      <c r="G153" s="40" t="str">
        <f aca="true">IF(OR(F153="",E153="Done",E153="Cancelled"),"",F153-TODAY())</f>
        <v/>
      </c>
      <c r="H153" s="44" t="str">
        <f aca="false">IF(G153="","",IF(G153&lt;0,"OVERDUE",IF(G153=0,"DUE TODAY",IF(G153&lt;=3,"DUE SOON",""))))</f>
        <v/>
      </c>
      <c r="I153" s="43"/>
      <c r="J153" s="43"/>
      <c r="K153" s="41"/>
      <c r="L153" s="41"/>
      <c r="M153" s="41"/>
    </row>
    <row r="154" customFormat="false" ht="18" hidden="false" customHeight="true" outlineLevel="0" collapsed="false">
      <c r="A154" s="40" t="str">
        <f aca="false">IF(B154="","",ROW()-4)</f>
        <v/>
      </c>
      <c r="B154" s="41"/>
      <c r="C154" s="42"/>
      <c r="D154" s="42"/>
      <c r="E154" s="42"/>
      <c r="F154" s="43"/>
      <c r="G154" s="40" t="str">
        <f aca="true">IF(OR(F154="",E154="Done",E154="Cancelled"),"",F154-TODAY())</f>
        <v/>
      </c>
      <c r="H154" s="44" t="str">
        <f aca="false">IF(G154="","",IF(G154&lt;0,"OVERDUE",IF(G154=0,"DUE TODAY",IF(G154&lt;=3,"DUE SOON",""))))</f>
        <v/>
      </c>
      <c r="I154" s="43"/>
      <c r="J154" s="43"/>
      <c r="K154" s="41"/>
      <c r="L154" s="41"/>
      <c r="M154" s="41"/>
    </row>
    <row r="155" customFormat="false" ht="18" hidden="false" customHeight="true" outlineLevel="0" collapsed="false">
      <c r="A155" s="40" t="str">
        <f aca="false">IF(B155="","",ROW()-4)</f>
        <v/>
      </c>
      <c r="B155" s="41"/>
      <c r="C155" s="42"/>
      <c r="D155" s="42"/>
      <c r="E155" s="42"/>
      <c r="F155" s="43"/>
      <c r="G155" s="40" t="str">
        <f aca="true">IF(OR(F155="",E155="Done",E155="Cancelled"),"",F155-TODAY())</f>
        <v/>
      </c>
      <c r="H155" s="44" t="str">
        <f aca="false">IF(G155="","",IF(G155&lt;0,"OVERDUE",IF(G155=0,"DUE TODAY",IF(G155&lt;=3,"DUE SOON",""))))</f>
        <v/>
      </c>
      <c r="I155" s="43"/>
      <c r="J155" s="43"/>
      <c r="K155" s="41"/>
      <c r="L155" s="41"/>
      <c r="M155" s="41"/>
    </row>
    <row r="156" customFormat="false" ht="18" hidden="false" customHeight="true" outlineLevel="0" collapsed="false">
      <c r="A156" s="40" t="str">
        <f aca="false">IF(B156="","",ROW()-4)</f>
        <v/>
      </c>
      <c r="B156" s="41"/>
      <c r="C156" s="42"/>
      <c r="D156" s="42"/>
      <c r="E156" s="42"/>
      <c r="F156" s="43"/>
      <c r="G156" s="40" t="str">
        <f aca="true">IF(OR(F156="",E156="Done",E156="Cancelled"),"",F156-TODAY())</f>
        <v/>
      </c>
      <c r="H156" s="44" t="str">
        <f aca="false">IF(G156="","",IF(G156&lt;0,"OVERDUE",IF(G156=0,"DUE TODAY",IF(G156&lt;=3,"DUE SOON",""))))</f>
        <v/>
      </c>
      <c r="I156" s="43"/>
      <c r="J156" s="43"/>
      <c r="K156" s="41"/>
      <c r="L156" s="41"/>
      <c r="M156" s="41"/>
    </row>
    <row r="157" customFormat="false" ht="18" hidden="false" customHeight="true" outlineLevel="0" collapsed="false">
      <c r="A157" s="40" t="str">
        <f aca="false">IF(B157="","",ROW()-4)</f>
        <v/>
      </c>
      <c r="B157" s="41"/>
      <c r="C157" s="42"/>
      <c r="D157" s="42"/>
      <c r="E157" s="42"/>
      <c r="F157" s="43"/>
      <c r="G157" s="40" t="str">
        <f aca="true">IF(OR(F157="",E157="Done",E157="Cancelled"),"",F157-TODAY())</f>
        <v/>
      </c>
      <c r="H157" s="44" t="str">
        <f aca="false">IF(G157="","",IF(G157&lt;0,"OVERDUE",IF(G157=0,"DUE TODAY",IF(G157&lt;=3,"DUE SOON",""))))</f>
        <v/>
      </c>
      <c r="I157" s="43"/>
      <c r="J157" s="43"/>
      <c r="K157" s="41"/>
      <c r="L157" s="41"/>
      <c r="M157" s="41"/>
    </row>
    <row r="158" customFormat="false" ht="18" hidden="false" customHeight="true" outlineLevel="0" collapsed="false">
      <c r="A158" s="40" t="str">
        <f aca="false">IF(B158="","",ROW()-4)</f>
        <v/>
      </c>
      <c r="B158" s="41"/>
      <c r="C158" s="42"/>
      <c r="D158" s="42"/>
      <c r="E158" s="42"/>
      <c r="F158" s="43"/>
      <c r="G158" s="40" t="str">
        <f aca="true">IF(OR(F158="",E158="Done",E158="Cancelled"),"",F158-TODAY())</f>
        <v/>
      </c>
      <c r="H158" s="44" t="str">
        <f aca="false">IF(G158="","",IF(G158&lt;0,"OVERDUE",IF(G158=0,"DUE TODAY",IF(G158&lt;=3,"DUE SOON",""))))</f>
        <v/>
      </c>
      <c r="I158" s="43"/>
      <c r="J158" s="43"/>
      <c r="K158" s="41"/>
      <c r="L158" s="41"/>
      <c r="M158" s="41"/>
    </row>
    <row r="159" customFormat="false" ht="18" hidden="false" customHeight="true" outlineLevel="0" collapsed="false">
      <c r="A159" s="40" t="str">
        <f aca="false">IF(B159="","",ROW()-4)</f>
        <v/>
      </c>
      <c r="B159" s="41"/>
      <c r="C159" s="42"/>
      <c r="D159" s="42"/>
      <c r="E159" s="42"/>
      <c r="F159" s="43"/>
      <c r="G159" s="40" t="str">
        <f aca="true">IF(OR(F159="",E159="Done",E159="Cancelled"),"",F159-TODAY())</f>
        <v/>
      </c>
      <c r="H159" s="44" t="str">
        <f aca="false">IF(G159="","",IF(G159&lt;0,"OVERDUE",IF(G159=0,"DUE TODAY",IF(G159&lt;=3,"DUE SOON",""))))</f>
        <v/>
      </c>
      <c r="I159" s="43"/>
      <c r="J159" s="43"/>
      <c r="K159" s="41"/>
      <c r="L159" s="41"/>
      <c r="M159" s="41"/>
    </row>
    <row r="160" customFormat="false" ht="18" hidden="false" customHeight="true" outlineLevel="0" collapsed="false">
      <c r="A160" s="40" t="str">
        <f aca="false">IF(B160="","",ROW()-4)</f>
        <v/>
      </c>
      <c r="B160" s="41"/>
      <c r="C160" s="42"/>
      <c r="D160" s="42"/>
      <c r="E160" s="42"/>
      <c r="F160" s="43"/>
      <c r="G160" s="40" t="str">
        <f aca="true">IF(OR(F160="",E160="Done",E160="Cancelled"),"",F160-TODAY())</f>
        <v/>
      </c>
      <c r="H160" s="44" t="str">
        <f aca="false">IF(G160="","",IF(G160&lt;0,"OVERDUE",IF(G160=0,"DUE TODAY",IF(G160&lt;=3,"DUE SOON",""))))</f>
        <v/>
      </c>
      <c r="I160" s="43"/>
      <c r="J160" s="43"/>
      <c r="K160" s="41"/>
      <c r="L160" s="41"/>
      <c r="M160" s="41"/>
    </row>
    <row r="161" customFormat="false" ht="18" hidden="false" customHeight="true" outlineLevel="0" collapsed="false">
      <c r="A161" s="40" t="str">
        <f aca="false">IF(B161="","",ROW()-4)</f>
        <v/>
      </c>
      <c r="B161" s="41"/>
      <c r="C161" s="42"/>
      <c r="D161" s="42"/>
      <c r="E161" s="42"/>
      <c r="F161" s="43"/>
      <c r="G161" s="40" t="str">
        <f aca="true">IF(OR(F161="",E161="Done",E161="Cancelled"),"",F161-TODAY())</f>
        <v/>
      </c>
      <c r="H161" s="44" t="str">
        <f aca="false">IF(G161="","",IF(G161&lt;0,"OVERDUE",IF(G161=0,"DUE TODAY",IF(G161&lt;=3,"DUE SOON",""))))</f>
        <v/>
      </c>
      <c r="I161" s="43"/>
      <c r="J161" s="43"/>
      <c r="K161" s="41"/>
      <c r="L161" s="41"/>
      <c r="M161" s="41"/>
    </row>
    <row r="162" customFormat="false" ht="18" hidden="false" customHeight="true" outlineLevel="0" collapsed="false">
      <c r="A162" s="40" t="str">
        <f aca="false">IF(B162="","",ROW()-4)</f>
        <v/>
      </c>
      <c r="B162" s="41"/>
      <c r="C162" s="42"/>
      <c r="D162" s="42"/>
      <c r="E162" s="42"/>
      <c r="F162" s="43"/>
      <c r="G162" s="40" t="str">
        <f aca="true">IF(OR(F162="",E162="Done",E162="Cancelled"),"",F162-TODAY())</f>
        <v/>
      </c>
      <c r="H162" s="44" t="str">
        <f aca="false">IF(G162="","",IF(G162&lt;0,"OVERDUE",IF(G162=0,"DUE TODAY",IF(G162&lt;=3,"DUE SOON",""))))</f>
        <v/>
      </c>
      <c r="I162" s="43"/>
      <c r="J162" s="43"/>
      <c r="K162" s="41"/>
      <c r="L162" s="41"/>
      <c r="M162" s="41"/>
    </row>
    <row r="163" customFormat="false" ht="18" hidden="false" customHeight="true" outlineLevel="0" collapsed="false">
      <c r="A163" s="40" t="str">
        <f aca="false">IF(B163="","",ROW()-4)</f>
        <v/>
      </c>
      <c r="B163" s="41"/>
      <c r="C163" s="42"/>
      <c r="D163" s="42"/>
      <c r="E163" s="42"/>
      <c r="F163" s="43"/>
      <c r="G163" s="40" t="str">
        <f aca="true">IF(OR(F163="",E163="Done",E163="Cancelled"),"",F163-TODAY())</f>
        <v/>
      </c>
      <c r="H163" s="44" t="str">
        <f aca="false">IF(G163="","",IF(G163&lt;0,"OVERDUE",IF(G163=0,"DUE TODAY",IF(G163&lt;=3,"DUE SOON",""))))</f>
        <v/>
      </c>
      <c r="I163" s="43"/>
      <c r="J163" s="43"/>
      <c r="K163" s="41"/>
      <c r="L163" s="41"/>
      <c r="M163" s="41"/>
    </row>
    <row r="164" customFormat="false" ht="18" hidden="false" customHeight="true" outlineLevel="0" collapsed="false">
      <c r="A164" s="40" t="str">
        <f aca="false">IF(B164="","",ROW()-4)</f>
        <v/>
      </c>
      <c r="B164" s="41"/>
      <c r="C164" s="42"/>
      <c r="D164" s="42"/>
      <c r="E164" s="42"/>
      <c r="F164" s="43"/>
      <c r="G164" s="40" t="str">
        <f aca="true">IF(OR(F164="",E164="Done",E164="Cancelled"),"",F164-TODAY())</f>
        <v/>
      </c>
      <c r="H164" s="44" t="str">
        <f aca="false">IF(G164="","",IF(G164&lt;0,"OVERDUE",IF(G164=0,"DUE TODAY",IF(G164&lt;=3,"DUE SOON",""))))</f>
        <v/>
      </c>
      <c r="I164" s="43"/>
      <c r="J164" s="43"/>
      <c r="K164" s="41"/>
      <c r="L164" s="41"/>
      <c r="M164" s="41"/>
    </row>
    <row r="165" customFormat="false" ht="18" hidden="false" customHeight="true" outlineLevel="0" collapsed="false">
      <c r="A165" s="40" t="str">
        <f aca="false">IF(B165="","",ROW()-4)</f>
        <v/>
      </c>
      <c r="B165" s="41"/>
      <c r="C165" s="42"/>
      <c r="D165" s="42"/>
      <c r="E165" s="42"/>
      <c r="F165" s="43"/>
      <c r="G165" s="40" t="str">
        <f aca="true">IF(OR(F165="",E165="Done",E165="Cancelled"),"",F165-TODAY())</f>
        <v/>
      </c>
      <c r="H165" s="44" t="str">
        <f aca="false">IF(G165="","",IF(G165&lt;0,"OVERDUE",IF(G165=0,"DUE TODAY",IF(G165&lt;=3,"DUE SOON",""))))</f>
        <v/>
      </c>
      <c r="I165" s="43"/>
      <c r="J165" s="43"/>
      <c r="K165" s="41"/>
      <c r="L165" s="41"/>
      <c r="M165" s="41"/>
    </row>
    <row r="166" customFormat="false" ht="18" hidden="false" customHeight="true" outlineLevel="0" collapsed="false">
      <c r="A166" s="40" t="str">
        <f aca="false">IF(B166="","",ROW()-4)</f>
        <v/>
      </c>
      <c r="B166" s="41"/>
      <c r="C166" s="42"/>
      <c r="D166" s="42"/>
      <c r="E166" s="42"/>
      <c r="F166" s="43"/>
      <c r="G166" s="40" t="str">
        <f aca="true">IF(OR(F166="",E166="Done",E166="Cancelled"),"",F166-TODAY())</f>
        <v/>
      </c>
      <c r="H166" s="44" t="str">
        <f aca="false">IF(G166="","",IF(G166&lt;0,"OVERDUE",IF(G166=0,"DUE TODAY",IF(G166&lt;=3,"DUE SOON",""))))</f>
        <v/>
      </c>
      <c r="I166" s="43"/>
      <c r="J166" s="43"/>
      <c r="K166" s="41"/>
      <c r="L166" s="41"/>
      <c r="M166" s="41"/>
    </row>
    <row r="167" customFormat="false" ht="18" hidden="false" customHeight="true" outlineLevel="0" collapsed="false">
      <c r="A167" s="40" t="str">
        <f aca="false">IF(B167="","",ROW()-4)</f>
        <v/>
      </c>
      <c r="B167" s="41"/>
      <c r="C167" s="42"/>
      <c r="D167" s="42"/>
      <c r="E167" s="42"/>
      <c r="F167" s="43"/>
      <c r="G167" s="40" t="str">
        <f aca="true">IF(OR(F167="",E167="Done",E167="Cancelled"),"",F167-TODAY())</f>
        <v/>
      </c>
      <c r="H167" s="44" t="str">
        <f aca="false">IF(G167="","",IF(G167&lt;0,"OVERDUE",IF(G167=0,"DUE TODAY",IF(G167&lt;=3,"DUE SOON",""))))</f>
        <v/>
      </c>
      <c r="I167" s="43"/>
      <c r="J167" s="43"/>
      <c r="K167" s="41"/>
      <c r="L167" s="41"/>
      <c r="M167" s="41"/>
    </row>
    <row r="168" customFormat="false" ht="18" hidden="false" customHeight="true" outlineLevel="0" collapsed="false">
      <c r="A168" s="40" t="str">
        <f aca="false">IF(B168="","",ROW()-4)</f>
        <v/>
      </c>
      <c r="B168" s="41"/>
      <c r="C168" s="42"/>
      <c r="D168" s="42"/>
      <c r="E168" s="42"/>
      <c r="F168" s="43"/>
      <c r="G168" s="40" t="str">
        <f aca="true">IF(OR(F168="",E168="Done",E168="Cancelled"),"",F168-TODAY())</f>
        <v/>
      </c>
      <c r="H168" s="44" t="str">
        <f aca="false">IF(G168="","",IF(G168&lt;0,"OVERDUE",IF(G168=0,"DUE TODAY",IF(G168&lt;=3,"DUE SOON",""))))</f>
        <v/>
      </c>
      <c r="I168" s="43"/>
      <c r="J168" s="43"/>
      <c r="K168" s="41"/>
      <c r="L168" s="41"/>
      <c r="M168" s="41"/>
    </row>
    <row r="169" customFormat="false" ht="18" hidden="false" customHeight="true" outlineLevel="0" collapsed="false">
      <c r="A169" s="40" t="str">
        <f aca="false">IF(B169="","",ROW()-4)</f>
        <v/>
      </c>
      <c r="B169" s="41"/>
      <c r="C169" s="42"/>
      <c r="D169" s="42"/>
      <c r="E169" s="42"/>
      <c r="F169" s="43"/>
      <c r="G169" s="40" t="str">
        <f aca="true">IF(OR(F169="",E169="Done",E169="Cancelled"),"",F169-TODAY())</f>
        <v/>
      </c>
      <c r="H169" s="44" t="str">
        <f aca="false">IF(G169="","",IF(G169&lt;0,"OVERDUE",IF(G169=0,"DUE TODAY",IF(G169&lt;=3,"DUE SOON",""))))</f>
        <v/>
      </c>
      <c r="I169" s="43"/>
      <c r="J169" s="43"/>
      <c r="K169" s="41"/>
      <c r="L169" s="41"/>
      <c r="M169" s="41"/>
    </row>
    <row r="170" customFormat="false" ht="18" hidden="false" customHeight="true" outlineLevel="0" collapsed="false">
      <c r="A170" s="40" t="str">
        <f aca="false">IF(B170="","",ROW()-4)</f>
        <v/>
      </c>
      <c r="B170" s="41"/>
      <c r="C170" s="42"/>
      <c r="D170" s="42"/>
      <c r="E170" s="42"/>
      <c r="F170" s="43"/>
      <c r="G170" s="40" t="str">
        <f aca="true">IF(OR(F170="",E170="Done",E170="Cancelled"),"",F170-TODAY())</f>
        <v/>
      </c>
      <c r="H170" s="44" t="str">
        <f aca="false">IF(G170="","",IF(G170&lt;0,"OVERDUE",IF(G170=0,"DUE TODAY",IF(G170&lt;=3,"DUE SOON",""))))</f>
        <v/>
      </c>
      <c r="I170" s="43"/>
      <c r="J170" s="43"/>
      <c r="K170" s="41"/>
      <c r="L170" s="41"/>
      <c r="M170" s="41"/>
    </row>
    <row r="171" customFormat="false" ht="18" hidden="false" customHeight="true" outlineLevel="0" collapsed="false">
      <c r="A171" s="40" t="str">
        <f aca="false">IF(B171="","",ROW()-4)</f>
        <v/>
      </c>
      <c r="B171" s="41"/>
      <c r="C171" s="42"/>
      <c r="D171" s="42"/>
      <c r="E171" s="42"/>
      <c r="F171" s="43"/>
      <c r="G171" s="40" t="str">
        <f aca="true">IF(OR(F171="",E171="Done",E171="Cancelled"),"",F171-TODAY())</f>
        <v/>
      </c>
      <c r="H171" s="44" t="str">
        <f aca="false">IF(G171="","",IF(G171&lt;0,"OVERDUE",IF(G171=0,"DUE TODAY",IF(G171&lt;=3,"DUE SOON",""))))</f>
        <v/>
      </c>
      <c r="I171" s="43"/>
      <c r="J171" s="43"/>
      <c r="K171" s="41"/>
      <c r="L171" s="41"/>
      <c r="M171" s="41"/>
    </row>
    <row r="172" customFormat="false" ht="18" hidden="false" customHeight="true" outlineLevel="0" collapsed="false">
      <c r="A172" s="40" t="str">
        <f aca="false">IF(B172="","",ROW()-4)</f>
        <v/>
      </c>
      <c r="B172" s="41"/>
      <c r="C172" s="42"/>
      <c r="D172" s="42"/>
      <c r="E172" s="42"/>
      <c r="F172" s="43"/>
      <c r="G172" s="40" t="str">
        <f aca="true">IF(OR(F172="",E172="Done",E172="Cancelled"),"",F172-TODAY())</f>
        <v/>
      </c>
      <c r="H172" s="44" t="str">
        <f aca="false">IF(G172="","",IF(G172&lt;0,"OVERDUE",IF(G172=0,"DUE TODAY",IF(G172&lt;=3,"DUE SOON",""))))</f>
        <v/>
      </c>
      <c r="I172" s="43"/>
      <c r="J172" s="43"/>
      <c r="K172" s="41"/>
      <c r="L172" s="41"/>
      <c r="M172" s="41"/>
    </row>
    <row r="173" customFormat="false" ht="18" hidden="false" customHeight="true" outlineLevel="0" collapsed="false">
      <c r="A173" s="40" t="str">
        <f aca="false">IF(B173="","",ROW()-4)</f>
        <v/>
      </c>
      <c r="B173" s="41"/>
      <c r="C173" s="42"/>
      <c r="D173" s="42"/>
      <c r="E173" s="42"/>
      <c r="F173" s="43"/>
      <c r="G173" s="40" t="str">
        <f aca="true">IF(OR(F173="",E173="Done",E173="Cancelled"),"",F173-TODAY())</f>
        <v/>
      </c>
      <c r="H173" s="44" t="str">
        <f aca="false">IF(G173="","",IF(G173&lt;0,"OVERDUE",IF(G173=0,"DUE TODAY",IF(G173&lt;=3,"DUE SOON",""))))</f>
        <v/>
      </c>
      <c r="I173" s="43"/>
      <c r="J173" s="43"/>
      <c r="K173" s="41"/>
      <c r="L173" s="41"/>
      <c r="M173" s="41"/>
    </row>
    <row r="174" customFormat="false" ht="18" hidden="false" customHeight="true" outlineLevel="0" collapsed="false">
      <c r="A174" s="40" t="str">
        <f aca="false">IF(B174="","",ROW()-4)</f>
        <v/>
      </c>
      <c r="B174" s="41"/>
      <c r="C174" s="42"/>
      <c r="D174" s="42"/>
      <c r="E174" s="42"/>
      <c r="F174" s="43"/>
      <c r="G174" s="40" t="str">
        <f aca="true">IF(OR(F174="",E174="Done",E174="Cancelled"),"",F174-TODAY())</f>
        <v/>
      </c>
      <c r="H174" s="44" t="str">
        <f aca="false">IF(G174="","",IF(G174&lt;0,"OVERDUE",IF(G174=0,"DUE TODAY",IF(G174&lt;=3,"DUE SOON",""))))</f>
        <v/>
      </c>
      <c r="I174" s="43"/>
      <c r="J174" s="43"/>
      <c r="K174" s="41"/>
      <c r="L174" s="41"/>
      <c r="M174" s="41"/>
    </row>
    <row r="175" customFormat="false" ht="18" hidden="false" customHeight="true" outlineLevel="0" collapsed="false">
      <c r="A175" s="40" t="str">
        <f aca="false">IF(B175="","",ROW()-4)</f>
        <v/>
      </c>
      <c r="B175" s="41"/>
      <c r="C175" s="42"/>
      <c r="D175" s="42"/>
      <c r="E175" s="42"/>
      <c r="F175" s="43"/>
      <c r="G175" s="40" t="str">
        <f aca="true">IF(OR(F175="",E175="Done",E175="Cancelled"),"",F175-TODAY())</f>
        <v/>
      </c>
      <c r="H175" s="44" t="str">
        <f aca="false">IF(G175="","",IF(G175&lt;0,"OVERDUE",IF(G175=0,"DUE TODAY",IF(G175&lt;=3,"DUE SOON",""))))</f>
        <v/>
      </c>
      <c r="I175" s="43"/>
      <c r="J175" s="43"/>
      <c r="K175" s="41"/>
      <c r="L175" s="41"/>
      <c r="M175" s="41"/>
    </row>
    <row r="176" customFormat="false" ht="18" hidden="false" customHeight="true" outlineLevel="0" collapsed="false">
      <c r="A176" s="40" t="str">
        <f aca="false">IF(B176="","",ROW()-4)</f>
        <v/>
      </c>
      <c r="B176" s="41"/>
      <c r="C176" s="42"/>
      <c r="D176" s="42"/>
      <c r="E176" s="42"/>
      <c r="F176" s="43"/>
      <c r="G176" s="40" t="str">
        <f aca="true">IF(OR(F176="",E176="Done",E176="Cancelled"),"",F176-TODAY())</f>
        <v/>
      </c>
      <c r="H176" s="44" t="str">
        <f aca="false">IF(G176="","",IF(G176&lt;0,"OVERDUE",IF(G176=0,"DUE TODAY",IF(G176&lt;=3,"DUE SOON",""))))</f>
        <v/>
      </c>
      <c r="I176" s="43"/>
      <c r="J176" s="43"/>
      <c r="K176" s="41"/>
      <c r="L176" s="41"/>
      <c r="M176" s="41"/>
    </row>
    <row r="177" customFormat="false" ht="18" hidden="false" customHeight="true" outlineLevel="0" collapsed="false">
      <c r="A177" s="40" t="str">
        <f aca="false">IF(B177="","",ROW()-4)</f>
        <v/>
      </c>
      <c r="B177" s="41"/>
      <c r="C177" s="42"/>
      <c r="D177" s="42"/>
      <c r="E177" s="42"/>
      <c r="F177" s="43"/>
      <c r="G177" s="40" t="str">
        <f aca="true">IF(OR(F177="",E177="Done",E177="Cancelled"),"",F177-TODAY())</f>
        <v/>
      </c>
      <c r="H177" s="44" t="str">
        <f aca="false">IF(G177="","",IF(G177&lt;0,"OVERDUE",IF(G177=0,"DUE TODAY",IF(G177&lt;=3,"DUE SOON",""))))</f>
        <v/>
      </c>
      <c r="I177" s="43"/>
      <c r="J177" s="43"/>
      <c r="K177" s="41"/>
      <c r="L177" s="41"/>
      <c r="M177" s="41"/>
    </row>
    <row r="178" customFormat="false" ht="18" hidden="false" customHeight="true" outlineLevel="0" collapsed="false">
      <c r="A178" s="40" t="str">
        <f aca="false">IF(B178="","",ROW()-4)</f>
        <v/>
      </c>
      <c r="B178" s="41"/>
      <c r="C178" s="42"/>
      <c r="D178" s="42"/>
      <c r="E178" s="42"/>
      <c r="F178" s="43"/>
      <c r="G178" s="40" t="str">
        <f aca="true">IF(OR(F178="",E178="Done",E178="Cancelled"),"",F178-TODAY())</f>
        <v/>
      </c>
      <c r="H178" s="44" t="str">
        <f aca="false">IF(G178="","",IF(G178&lt;0,"OVERDUE",IF(G178=0,"DUE TODAY",IF(G178&lt;=3,"DUE SOON",""))))</f>
        <v/>
      </c>
      <c r="I178" s="43"/>
      <c r="J178" s="43"/>
      <c r="K178" s="41"/>
      <c r="L178" s="41"/>
      <c r="M178" s="41"/>
    </row>
    <row r="179" customFormat="false" ht="18" hidden="false" customHeight="true" outlineLevel="0" collapsed="false">
      <c r="A179" s="40" t="str">
        <f aca="false">IF(B179="","",ROW()-4)</f>
        <v/>
      </c>
      <c r="B179" s="41"/>
      <c r="C179" s="42"/>
      <c r="D179" s="42"/>
      <c r="E179" s="42"/>
      <c r="F179" s="43"/>
      <c r="G179" s="40" t="str">
        <f aca="true">IF(OR(F179="",E179="Done",E179="Cancelled"),"",F179-TODAY())</f>
        <v/>
      </c>
      <c r="H179" s="44" t="str">
        <f aca="false">IF(G179="","",IF(G179&lt;0,"OVERDUE",IF(G179=0,"DUE TODAY",IF(G179&lt;=3,"DUE SOON",""))))</f>
        <v/>
      </c>
      <c r="I179" s="43"/>
      <c r="J179" s="43"/>
      <c r="K179" s="41"/>
      <c r="L179" s="41"/>
      <c r="M179" s="41"/>
    </row>
    <row r="180" customFormat="false" ht="18" hidden="false" customHeight="true" outlineLevel="0" collapsed="false">
      <c r="A180" s="40" t="str">
        <f aca="false">IF(B180="","",ROW()-4)</f>
        <v/>
      </c>
      <c r="B180" s="41"/>
      <c r="C180" s="42"/>
      <c r="D180" s="42"/>
      <c r="E180" s="42"/>
      <c r="F180" s="43"/>
      <c r="G180" s="40" t="str">
        <f aca="true">IF(OR(F180="",E180="Done",E180="Cancelled"),"",F180-TODAY())</f>
        <v/>
      </c>
      <c r="H180" s="44" t="str">
        <f aca="false">IF(G180="","",IF(G180&lt;0,"OVERDUE",IF(G180=0,"DUE TODAY",IF(G180&lt;=3,"DUE SOON",""))))</f>
        <v/>
      </c>
      <c r="I180" s="43"/>
      <c r="J180" s="43"/>
      <c r="K180" s="41"/>
      <c r="L180" s="41"/>
      <c r="M180" s="41"/>
    </row>
    <row r="181" customFormat="false" ht="18" hidden="false" customHeight="true" outlineLevel="0" collapsed="false">
      <c r="A181" s="40" t="str">
        <f aca="false">IF(B181="","",ROW()-4)</f>
        <v/>
      </c>
      <c r="B181" s="41"/>
      <c r="C181" s="42"/>
      <c r="D181" s="42"/>
      <c r="E181" s="42"/>
      <c r="F181" s="43"/>
      <c r="G181" s="40" t="str">
        <f aca="true">IF(OR(F181="",E181="Done",E181="Cancelled"),"",F181-TODAY())</f>
        <v/>
      </c>
      <c r="H181" s="44" t="str">
        <f aca="false">IF(G181="","",IF(G181&lt;0,"OVERDUE",IF(G181=0,"DUE TODAY",IF(G181&lt;=3,"DUE SOON",""))))</f>
        <v/>
      </c>
      <c r="I181" s="43"/>
      <c r="J181" s="43"/>
      <c r="K181" s="41"/>
      <c r="L181" s="41"/>
      <c r="M181" s="41"/>
    </row>
    <row r="182" customFormat="false" ht="18" hidden="false" customHeight="true" outlineLevel="0" collapsed="false">
      <c r="A182" s="40" t="str">
        <f aca="false">IF(B182="","",ROW()-4)</f>
        <v/>
      </c>
      <c r="B182" s="41"/>
      <c r="C182" s="42"/>
      <c r="D182" s="42"/>
      <c r="E182" s="42"/>
      <c r="F182" s="43"/>
      <c r="G182" s="40" t="str">
        <f aca="true">IF(OR(F182="",E182="Done",E182="Cancelled"),"",F182-TODAY())</f>
        <v/>
      </c>
      <c r="H182" s="44" t="str">
        <f aca="false">IF(G182="","",IF(G182&lt;0,"OVERDUE",IF(G182=0,"DUE TODAY",IF(G182&lt;=3,"DUE SOON",""))))</f>
        <v/>
      </c>
      <c r="I182" s="43"/>
      <c r="J182" s="43"/>
      <c r="K182" s="41"/>
      <c r="L182" s="41"/>
      <c r="M182" s="41"/>
    </row>
    <row r="183" customFormat="false" ht="18" hidden="false" customHeight="true" outlineLevel="0" collapsed="false">
      <c r="A183" s="40" t="str">
        <f aca="false">IF(B183="","",ROW()-4)</f>
        <v/>
      </c>
      <c r="B183" s="41"/>
      <c r="C183" s="42"/>
      <c r="D183" s="42"/>
      <c r="E183" s="42"/>
      <c r="F183" s="43"/>
      <c r="G183" s="40" t="str">
        <f aca="true">IF(OR(F183="",E183="Done",E183="Cancelled"),"",F183-TODAY())</f>
        <v/>
      </c>
      <c r="H183" s="44" t="str">
        <f aca="false">IF(G183="","",IF(G183&lt;0,"OVERDUE",IF(G183=0,"DUE TODAY",IF(G183&lt;=3,"DUE SOON",""))))</f>
        <v/>
      </c>
      <c r="I183" s="43"/>
      <c r="J183" s="43"/>
      <c r="K183" s="41"/>
      <c r="L183" s="41"/>
      <c r="M183" s="41"/>
    </row>
    <row r="184" customFormat="false" ht="18" hidden="false" customHeight="true" outlineLevel="0" collapsed="false">
      <c r="A184" s="40" t="str">
        <f aca="false">IF(B184="","",ROW()-4)</f>
        <v/>
      </c>
      <c r="B184" s="41"/>
      <c r="C184" s="42"/>
      <c r="D184" s="42"/>
      <c r="E184" s="42"/>
      <c r="F184" s="43"/>
      <c r="G184" s="40" t="str">
        <f aca="true">IF(OR(F184="",E184="Done",E184="Cancelled"),"",F184-TODAY())</f>
        <v/>
      </c>
      <c r="H184" s="44" t="str">
        <f aca="false">IF(G184="","",IF(G184&lt;0,"OVERDUE",IF(G184=0,"DUE TODAY",IF(G184&lt;=3,"DUE SOON",""))))</f>
        <v/>
      </c>
      <c r="I184" s="43"/>
      <c r="J184" s="43"/>
      <c r="K184" s="41"/>
      <c r="L184" s="41"/>
      <c r="M184" s="41"/>
    </row>
    <row r="185" customFormat="false" ht="18" hidden="false" customHeight="true" outlineLevel="0" collapsed="false">
      <c r="A185" s="40" t="str">
        <f aca="false">IF(B185="","",ROW()-4)</f>
        <v/>
      </c>
      <c r="B185" s="41"/>
      <c r="C185" s="42"/>
      <c r="D185" s="42"/>
      <c r="E185" s="42"/>
      <c r="F185" s="43"/>
      <c r="G185" s="40" t="str">
        <f aca="true">IF(OR(F185="",E185="Done",E185="Cancelled"),"",F185-TODAY())</f>
        <v/>
      </c>
      <c r="H185" s="44" t="str">
        <f aca="false">IF(G185="","",IF(G185&lt;0,"OVERDUE",IF(G185=0,"DUE TODAY",IF(G185&lt;=3,"DUE SOON",""))))</f>
        <v/>
      </c>
      <c r="I185" s="43"/>
      <c r="J185" s="43"/>
      <c r="K185" s="41"/>
      <c r="L185" s="41"/>
      <c r="M185" s="41"/>
    </row>
    <row r="186" customFormat="false" ht="18" hidden="false" customHeight="true" outlineLevel="0" collapsed="false">
      <c r="A186" s="40" t="str">
        <f aca="false">IF(B186="","",ROW()-4)</f>
        <v/>
      </c>
      <c r="B186" s="41"/>
      <c r="C186" s="42"/>
      <c r="D186" s="42"/>
      <c r="E186" s="42"/>
      <c r="F186" s="43"/>
      <c r="G186" s="40" t="str">
        <f aca="true">IF(OR(F186="",E186="Done",E186="Cancelled"),"",F186-TODAY())</f>
        <v/>
      </c>
      <c r="H186" s="44" t="str">
        <f aca="false">IF(G186="","",IF(G186&lt;0,"OVERDUE",IF(G186=0,"DUE TODAY",IF(G186&lt;=3,"DUE SOON",""))))</f>
        <v/>
      </c>
      <c r="I186" s="43"/>
      <c r="J186" s="43"/>
      <c r="K186" s="41"/>
      <c r="L186" s="41"/>
      <c r="M186" s="41"/>
    </row>
    <row r="187" customFormat="false" ht="18" hidden="false" customHeight="true" outlineLevel="0" collapsed="false">
      <c r="A187" s="40" t="str">
        <f aca="false">IF(B187="","",ROW()-4)</f>
        <v/>
      </c>
      <c r="B187" s="41"/>
      <c r="C187" s="42"/>
      <c r="D187" s="42"/>
      <c r="E187" s="42"/>
      <c r="F187" s="43"/>
      <c r="G187" s="40" t="str">
        <f aca="true">IF(OR(F187="",E187="Done",E187="Cancelled"),"",F187-TODAY())</f>
        <v/>
      </c>
      <c r="H187" s="44" t="str">
        <f aca="false">IF(G187="","",IF(G187&lt;0,"OVERDUE",IF(G187=0,"DUE TODAY",IF(G187&lt;=3,"DUE SOON",""))))</f>
        <v/>
      </c>
      <c r="I187" s="43"/>
      <c r="J187" s="43"/>
      <c r="K187" s="41"/>
      <c r="L187" s="41"/>
      <c r="M187" s="41"/>
    </row>
    <row r="188" customFormat="false" ht="18" hidden="false" customHeight="true" outlineLevel="0" collapsed="false">
      <c r="A188" s="40" t="str">
        <f aca="false">IF(B188="","",ROW()-4)</f>
        <v/>
      </c>
      <c r="B188" s="41"/>
      <c r="C188" s="42"/>
      <c r="D188" s="42"/>
      <c r="E188" s="42"/>
      <c r="F188" s="43"/>
      <c r="G188" s="40" t="str">
        <f aca="true">IF(OR(F188="",E188="Done",E188="Cancelled"),"",F188-TODAY())</f>
        <v/>
      </c>
      <c r="H188" s="44" t="str">
        <f aca="false">IF(G188="","",IF(G188&lt;0,"OVERDUE",IF(G188=0,"DUE TODAY",IF(G188&lt;=3,"DUE SOON",""))))</f>
        <v/>
      </c>
      <c r="I188" s="43"/>
      <c r="J188" s="43"/>
      <c r="K188" s="41"/>
      <c r="L188" s="41"/>
      <c r="M188" s="41"/>
    </row>
    <row r="189" customFormat="false" ht="18" hidden="false" customHeight="true" outlineLevel="0" collapsed="false">
      <c r="A189" s="40" t="str">
        <f aca="false">IF(B189="","",ROW()-4)</f>
        <v/>
      </c>
      <c r="B189" s="41"/>
      <c r="C189" s="42"/>
      <c r="D189" s="42"/>
      <c r="E189" s="42"/>
      <c r="F189" s="43"/>
      <c r="G189" s="40" t="str">
        <f aca="true">IF(OR(F189="",E189="Done",E189="Cancelled"),"",F189-TODAY())</f>
        <v/>
      </c>
      <c r="H189" s="44" t="str">
        <f aca="false">IF(G189="","",IF(G189&lt;0,"OVERDUE",IF(G189=0,"DUE TODAY",IF(G189&lt;=3,"DUE SOON",""))))</f>
        <v/>
      </c>
      <c r="I189" s="43"/>
      <c r="J189" s="43"/>
      <c r="K189" s="41"/>
      <c r="L189" s="41"/>
      <c r="M189" s="41"/>
    </row>
    <row r="190" customFormat="false" ht="18" hidden="false" customHeight="true" outlineLevel="0" collapsed="false">
      <c r="A190" s="40" t="str">
        <f aca="false">IF(B190="","",ROW()-4)</f>
        <v/>
      </c>
      <c r="B190" s="41"/>
      <c r="C190" s="42"/>
      <c r="D190" s="42"/>
      <c r="E190" s="42"/>
      <c r="F190" s="43"/>
      <c r="G190" s="40" t="str">
        <f aca="true">IF(OR(F190="",E190="Done",E190="Cancelled"),"",F190-TODAY())</f>
        <v/>
      </c>
      <c r="H190" s="44" t="str">
        <f aca="false">IF(G190="","",IF(G190&lt;0,"OVERDUE",IF(G190=0,"DUE TODAY",IF(G190&lt;=3,"DUE SOON",""))))</f>
        <v/>
      </c>
      <c r="I190" s="43"/>
      <c r="J190" s="43"/>
      <c r="K190" s="41"/>
      <c r="L190" s="41"/>
      <c r="M190" s="41"/>
    </row>
    <row r="191" customFormat="false" ht="18" hidden="false" customHeight="true" outlineLevel="0" collapsed="false">
      <c r="A191" s="40" t="str">
        <f aca="false">IF(B191="","",ROW()-4)</f>
        <v/>
      </c>
      <c r="B191" s="41"/>
      <c r="C191" s="42"/>
      <c r="D191" s="42"/>
      <c r="E191" s="42"/>
      <c r="F191" s="43"/>
      <c r="G191" s="40" t="str">
        <f aca="true">IF(OR(F191="",E191="Done",E191="Cancelled"),"",F191-TODAY())</f>
        <v/>
      </c>
      <c r="H191" s="44" t="str">
        <f aca="false">IF(G191="","",IF(G191&lt;0,"OVERDUE",IF(G191=0,"DUE TODAY",IF(G191&lt;=3,"DUE SOON",""))))</f>
        <v/>
      </c>
      <c r="I191" s="43"/>
      <c r="J191" s="43"/>
      <c r="K191" s="41"/>
      <c r="L191" s="41"/>
      <c r="M191" s="41"/>
    </row>
    <row r="192" customFormat="false" ht="18" hidden="false" customHeight="true" outlineLevel="0" collapsed="false">
      <c r="A192" s="40" t="str">
        <f aca="false">IF(B192="","",ROW()-4)</f>
        <v/>
      </c>
      <c r="B192" s="41"/>
      <c r="C192" s="42"/>
      <c r="D192" s="42"/>
      <c r="E192" s="42"/>
      <c r="F192" s="43"/>
      <c r="G192" s="40" t="str">
        <f aca="true">IF(OR(F192="",E192="Done",E192="Cancelled"),"",F192-TODAY())</f>
        <v/>
      </c>
      <c r="H192" s="44" t="str">
        <f aca="false">IF(G192="","",IF(G192&lt;0,"OVERDUE",IF(G192=0,"DUE TODAY",IF(G192&lt;=3,"DUE SOON",""))))</f>
        <v/>
      </c>
      <c r="I192" s="43"/>
      <c r="J192" s="43"/>
      <c r="K192" s="41"/>
      <c r="L192" s="41"/>
      <c r="M192" s="41"/>
    </row>
    <row r="193" customFormat="false" ht="18" hidden="false" customHeight="true" outlineLevel="0" collapsed="false">
      <c r="A193" s="40" t="str">
        <f aca="false">IF(B193="","",ROW()-4)</f>
        <v/>
      </c>
      <c r="B193" s="41"/>
      <c r="C193" s="42"/>
      <c r="D193" s="42"/>
      <c r="E193" s="42"/>
      <c r="F193" s="43"/>
      <c r="G193" s="40" t="str">
        <f aca="true">IF(OR(F193="",E193="Done",E193="Cancelled"),"",F193-TODAY())</f>
        <v/>
      </c>
      <c r="H193" s="44" t="str">
        <f aca="false">IF(G193="","",IF(G193&lt;0,"OVERDUE",IF(G193=0,"DUE TODAY",IF(G193&lt;=3,"DUE SOON",""))))</f>
        <v/>
      </c>
      <c r="I193" s="43"/>
      <c r="J193" s="43"/>
      <c r="K193" s="41"/>
      <c r="L193" s="41"/>
      <c r="M193" s="41"/>
    </row>
    <row r="194" customFormat="false" ht="18" hidden="false" customHeight="true" outlineLevel="0" collapsed="false">
      <c r="A194" s="40" t="str">
        <f aca="false">IF(B194="","",ROW()-4)</f>
        <v/>
      </c>
      <c r="B194" s="41"/>
      <c r="C194" s="42"/>
      <c r="D194" s="42"/>
      <c r="E194" s="42"/>
      <c r="F194" s="43"/>
      <c r="G194" s="40" t="str">
        <f aca="true">IF(OR(F194="",E194="Done",E194="Cancelled"),"",F194-TODAY())</f>
        <v/>
      </c>
      <c r="H194" s="44" t="str">
        <f aca="false">IF(G194="","",IF(G194&lt;0,"OVERDUE",IF(G194=0,"DUE TODAY",IF(G194&lt;=3,"DUE SOON",""))))</f>
        <v/>
      </c>
      <c r="I194" s="43"/>
      <c r="J194" s="43"/>
      <c r="K194" s="41"/>
      <c r="L194" s="41"/>
      <c r="M194" s="41"/>
    </row>
    <row r="195" customFormat="false" ht="18" hidden="false" customHeight="true" outlineLevel="0" collapsed="false">
      <c r="A195" s="40" t="str">
        <f aca="false">IF(B195="","",ROW()-4)</f>
        <v/>
      </c>
      <c r="B195" s="41"/>
      <c r="C195" s="42"/>
      <c r="D195" s="42"/>
      <c r="E195" s="42"/>
      <c r="F195" s="43"/>
      <c r="G195" s="40" t="str">
        <f aca="true">IF(OR(F195="",E195="Done",E195="Cancelled"),"",F195-TODAY())</f>
        <v/>
      </c>
      <c r="H195" s="44" t="str">
        <f aca="false">IF(G195="","",IF(G195&lt;0,"OVERDUE",IF(G195=0,"DUE TODAY",IF(G195&lt;=3,"DUE SOON",""))))</f>
        <v/>
      </c>
      <c r="I195" s="43"/>
      <c r="J195" s="43"/>
      <c r="K195" s="41"/>
      <c r="L195" s="41"/>
      <c r="M195" s="41"/>
    </row>
    <row r="196" customFormat="false" ht="18" hidden="false" customHeight="true" outlineLevel="0" collapsed="false">
      <c r="A196" s="40" t="str">
        <f aca="false">IF(B196="","",ROW()-4)</f>
        <v/>
      </c>
      <c r="B196" s="41"/>
      <c r="C196" s="42"/>
      <c r="D196" s="42"/>
      <c r="E196" s="42"/>
      <c r="F196" s="43"/>
      <c r="G196" s="40" t="str">
        <f aca="true">IF(OR(F196="",E196="Done",E196="Cancelled"),"",F196-TODAY())</f>
        <v/>
      </c>
      <c r="H196" s="44" t="str">
        <f aca="false">IF(G196="","",IF(G196&lt;0,"OVERDUE",IF(G196=0,"DUE TODAY",IF(G196&lt;=3,"DUE SOON",""))))</f>
        <v/>
      </c>
      <c r="I196" s="43"/>
      <c r="J196" s="43"/>
      <c r="K196" s="41"/>
      <c r="L196" s="41"/>
      <c r="M196" s="41"/>
    </row>
    <row r="197" customFormat="false" ht="18" hidden="false" customHeight="true" outlineLevel="0" collapsed="false">
      <c r="A197" s="40" t="str">
        <f aca="false">IF(B197="","",ROW()-4)</f>
        <v/>
      </c>
      <c r="B197" s="41"/>
      <c r="C197" s="42"/>
      <c r="D197" s="42"/>
      <c r="E197" s="42"/>
      <c r="F197" s="43"/>
      <c r="G197" s="40" t="str">
        <f aca="true">IF(OR(F197="",E197="Done",E197="Cancelled"),"",F197-TODAY())</f>
        <v/>
      </c>
      <c r="H197" s="44" t="str">
        <f aca="false">IF(G197="","",IF(G197&lt;0,"OVERDUE",IF(G197=0,"DUE TODAY",IF(G197&lt;=3,"DUE SOON",""))))</f>
        <v/>
      </c>
      <c r="I197" s="43"/>
      <c r="J197" s="43"/>
      <c r="K197" s="41"/>
      <c r="L197" s="41"/>
      <c r="M197" s="41"/>
    </row>
    <row r="198" customFormat="false" ht="18" hidden="false" customHeight="true" outlineLevel="0" collapsed="false">
      <c r="A198" s="40" t="str">
        <f aca="false">IF(B198="","",ROW()-4)</f>
        <v/>
      </c>
      <c r="B198" s="41"/>
      <c r="C198" s="42"/>
      <c r="D198" s="42"/>
      <c r="E198" s="42"/>
      <c r="F198" s="43"/>
      <c r="G198" s="40" t="str">
        <f aca="true">IF(OR(F198="",E198="Done",E198="Cancelled"),"",F198-TODAY())</f>
        <v/>
      </c>
      <c r="H198" s="44" t="str">
        <f aca="false">IF(G198="","",IF(G198&lt;0,"OVERDUE",IF(G198=0,"DUE TODAY",IF(G198&lt;=3,"DUE SOON",""))))</f>
        <v/>
      </c>
      <c r="I198" s="43"/>
      <c r="J198" s="43"/>
      <c r="K198" s="41"/>
      <c r="L198" s="41"/>
      <c r="M198" s="41"/>
    </row>
    <row r="199" customFormat="false" ht="18" hidden="false" customHeight="true" outlineLevel="0" collapsed="false">
      <c r="A199" s="40" t="str">
        <f aca="false">IF(B199="","",ROW()-4)</f>
        <v/>
      </c>
      <c r="B199" s="41"/>
      <c r="C199" s="42"/>
      <c r="D199" s="42"/>
      <c r="E199" s="42"/>
      <c r="F199" s="43"/>
      <c r="G199" s="40" t="str">
        <f aca="true">IF(OR(F199="",E199="Done",E199="Cancelled"),"",F199-TODAY())</f>
        <v/>
      </c>
      <c r="H199" s="44" t="str">
        <f aca="false">IF(G199="","",IF(G199&lt;0,"OVERDUE",IF(G199=0,"DUE TODAY",IF(G199&lt;=3,"DUE SOON",""))))</f>
        <v/>
      </c>
      <c r="I199" s="43"/>
      <c r="J199" s="43"/>
      <c r="K199" s="41"/>
      <c r="L199" s="41"/>
      <c r="M199" s="41"/>
    </row>
    <row r="200" customFormat="false" ht="18" hidden="false" customHeight="true" outlineLevel="0" collapsed="false">
      <c r="A200" s="40" t="str">
        <f aca="false">IF(B200="","",ROW()-4)</f>
        <v/>
      </c>
      <c r="B200" s="41"/>
      <c r="C200" s="42"/>
      <c r="D200" s="42"/>
      <c r="E200" s="42"/>
      <c r="F200" s="43"/>
      <c r="G200" s="40" t="str">
        <f aca="true">IF(OR(F200="",E200="Done",E200="Cancelled"),"",F200-TODAY())</f>
        <v/>
      </c>
      <c r="H200" s="44" t="str">
        <f aca="false">IF(G200="","",IF(G200&lt;0,"OVERDUE",IF(G200=0,"DUE TODAY",IF(G200&lt;=3,"DUE SOON",""))))</f>
        <v/>
      </c>
      <c r="I200" s="43"/>
      <c r="J200" s="43"/>
      <c r="K200" s="41"/>
      <c r="L200" s="41"/>
      <c r="M200" s="41"/>
    </row>
    <row r="201" customFormat="false" ht="18" hidden="false" customHeight="true" outlineLevel="0" collapsed="false">
      <c r="A201" s="40" t="str">
        <f aca="false">IF(B201="","",ROW()-4)</f>
        <v/>
      </c>
      <c r="B201" s="41"/>
      <c r="C201" s="42"/>
      <c r="D201" s="42"/>
      <c r="E201" s="42"/>
      <c r="F201" s="43"/>
      <c r="G201" s="40" t="str">
        <f aca="true">IF(OR(F201="",E201="Done",E201="Cancelled"),"",F201-TODAY())</f>
        <v/>
      </c>
      <c r="H201" s="44" t="str">
        <f aca="false">IF(G201="","",IF(G201&lt;0,"OVERDUE",IF(G201=0,"DUE TODAY",IF(G201&lt;=3,"DUE SOON",""))))</f>
        <v/>
      </c>
      <c r="I201" s="43"/>
      <c r="J201" s="43"/>
      <c r="K201" s="41"/>
      <c r="L201" s="41"/>
      <c r="M201" s="41"/>
    </row>
    <row r="202" customFormat="false" ht="18" hidden="false" customHeight="true" outlineLevel="0" collapsed="false">
      <c r="A202" s="40" t="str">
        <f aca="false">IF(B202="","",ROW()-4)</f>
        <v/>
      </c>
      <c r="B202" s="41"/>
      <c r="C202" s="42"/>
      <c r="D202" s="42"/>
      <c r="E202" s="42"/>
      <c r="F202" s="43"/>
      <c r="G202" s="40" t="str">
        <f aca="true">IF(OR(F202="",E202="Done",E202="Cancelled"),"",F202-TODAY())</f>
        <v/>
      </c>
      <c r="H202" s="44" t="str">
        <f aca="false">IF(G202="","",IF(G202&lt;0,"OVERDUE",IF(G202=0,"DUE TODAY",IF(G202&lt;=3,"DUE SOON",""))))</f>
        <v/>
      </c>
      <c r="I202" s="43"/>
      <c r="J202" s="43"/>
      <c r="K202" s="41"/>
      <c r="L202" s="41"/>
      <c r="M202" s="41"/>
    </row>
    <row r="203" customFormat="false" ht="18" hidden="false" customHeight="true" outlineLevel="0" collapsed="false">
      <c r="A203" s="40" t="str">
        <f aca="false">IF(B203="","",ROW()-4)</f>
        <v/>
      </c>
      <c r="B203" s="41"/>
      <c r="C203" s="42"/>
      <c r="D203" s="42"/>
      <c r="E203" s="42"/>
      <c r="F203" s="43"/>
      <c r="G203" s="40" t="str">
        <f aca="true">IF(OR(F203="",E203="Done",E203="Cancelled"),"",F203-TODAY())</f>
        <v/>
      </c>
      <c r="H203" s="44" t="str">
        <f aca="false">IF(G203="","",IF(G203&lt;0,"OVERDUE",IF(G203=0,"DUE TODAY",IF(G203&lt;=3,"DUE SOON",""))))</f>
        <v/>
      </c>
      <c r="I203" s="43"/>
      <c r="J203" s="43"/>
      <c r="K203" s="41"/>
      <c r="L203" s="41"/>
      <c r="M203" s="41"/>
    </row>
    <row r="204" customFormat="false" ht="18" hidden="false" customHeight="true" outlineLevel="0" collapsed="false">
      <c r="A204" s="40" t="str">
        <f aca="false">IF(B204="","",ROW()-4)</f>
        <v/>
      </c>
      <c r="B204" s="41"/>
      <c r="C204" s="42"/>
      <c r="D204" s="42"/>
      <c r="E204" s="42"/>
      <c r="F204" s="43"/>
      <c r="G204" s="40" t="str">
        <f aca="true">IF(OR(F204="",E204="Done",E204="Cancelled"),"",F204-TODAY())</f>
        <v/>
      </c>
      <c r="H204" s="44" t="str">
        <f aca="false">IF(G204="","",IF(G204&lt;0,"OVERDUE",IF(G204=0,"DUE TODAY",IF(G204&lt;=3,"DUE SOON",""))))</f>
        <v/>
      </c>
      <c r="I204" s="43"/>
      <c r="J204" s="43"/>
      <c r="K204" s="41"/>
      <c r="L204" s="41"/>
      <c r="M204" s="41"/>
    </row>
    <row r="205" customFormat="false" ht="18" hidden="false" customHeight="true" outlineLevel="0" collapsed="false">
      <c r="A205" s="40" t="str">
        <f aca="false">IF(B205="","",ROW()-4)</f>
        <v/>
      </c>
      <c r="B205" s="41"/>
      <c r="C205" s="42"/>
      <c r="D205" s="42"/>
      <c r="E205" s="42"/>
      <c r="F205" s="43"/>
      <c r="G205" s="40" t="str">
        <f aca="true">IF(OR(F205="",E205="Done",E205="Cancelled"),"",F205-TODAY())</f>
        <v/>
      </c>
      <c r="H205" s="44" t="str">
        <f aca="false">IF(G205="","",IF(G205&lt;0,"OVERDUE",IF(G205=0,"DUE TODAY",IF(G205&lt;=3,"DUE SOON",""))))</f>
        <v/>
      </c>
      <c r="I205" s="43"/>
      <c r="J205" s="43"/>
      <c r="K205" s="41"/>
      <c r="L205" s="41"/>
      <c r="M205" s="41"/>
    </row>
    <row r="206" customFormat="false" ht="18" hidden="false" customHeight="true" outlineLevel="0" collapsed="false">
      <c r="A206" s="40" t="str">
        <f aca="false">IF(B206="","",ROW()-4)</f>
        <v/>
      </c>
      <c r="B206" s="41"/>
      <c r="C206" s="42"/>
      <c r="D206" s="42"/>
      <c r="E206" s="42"/>
      <c r="F206" s="43"/>
      <c r="G206" s="40" t="str">
        <f aca="true">IF(OR(F206="",E206="Done",E206="Cancelled"),"",F206-TODAY())</f>
        <v/>
      </c>
      <c r="H206" s="44" t="str">
        <f aca="false">IF(G206="","",IF(G206&lt;0,"OVERDUE",IF(G206=0,"DUE TODAY",IF(G206&lt;=3,"DUE SOON",""))))</f>
        <v/>
      </c>
      <c r="I206" s="43"/>
      <c r="J206" s="43"/>
      <c r="K206" s="41"/>
      <c r="L206" s="41"/>
      <c r="M206" s="41"/>
    </row>
    <row r="207" customFormat="false" ht="18" hidden="false" customHeight="true" outlineLevel="0" collapsed="false">
      <c r="A207" s="40" t="str">
        <f aca="false">IF(B207="","",ROW()-4)</f>
        <v/>
      </c>
      <c r="B207" s="41"/>
      <c r="C207" s="42"/>
      <c r="D207" s="42"/>
      <c r="E207" s="42"/>
      <c r="F207" s="43"/>
      <c r="G207" s="40" t="str">
        <f aca="true">IF(OR(F207="",E207="Done",E207="Cancelled"),"",F207-TODAY())</f>
        <v/>
      </c>
      <c r="H207" s="44" t="str">
        <f aca="false">IF(G207="","",IF(G207&lt;0,"OVERDUE",IF(G207=0,"DUE TODAY",IF(G207&lt;=3,"DUE SOON",""))))</f>
        <v/>
      </c>
      <c r="I207" s="43"/>
      <c r="J207" s="43"/>
      <c r="K207" s="41"/>
      <c r="L207" s="41"/>
      <c r="M207" s="41"/>
    </row>
    <row r="208" customFormat="false" ht="18" hidden="false" customHeight="true" outlineLevel="0" collapsed="false">
      <c r="A208" s="40" t="str">
        <f aca="false">IF(B208="","",ROW()-4)</f>
        <v/>
      </c>
      <c r="B208" s="41"/>
      <c r="C208" s="42"/>
      <c r="D208" s="42"/>
      <c r="E208" s="42"/>
      <c r="F208" s="43"/>
      <c r="G208" s="40" t="str">
        <f aca="true">IF(OR(F208="",E208="Done",E208="Cancelled"),"",F208-TODAY())</f>
        <v/>
      </c>
      <c r="H208" s="44" t="str">
        <f aca="false">IF(G208="","",IF(G208&lt;0,"OVERDUE",IF(G208=0,"DUE TODAY",IF(G208&lt;=3,"DUE SOON",""))))</f>
        <v/>
      </c>
      <c r="I208" s="43"/>
      <c r="J208" s="43"/>
      <c r="K208" s="41"/>
      <c r="L208" s="41"/>
      <c r="M208" s="41"/>
    </row>
    <row r="209" customFormat="false" ht="18" hidden="false" customHeight="true" outlineLevel="0" collapsed="false">
      <c r="A209" s="40" t="str">
        <f aca="false">IF(B209="","",ROW()-4)</f>
        <v/>
      </c>
      <c r="B209" s="41"/>
      <c r="C209" s="42"/>
      <c r="D209" s="42"/>
      <c r="E209" s="42"/>
      <c r="F209" s="43"/>
      <c r="G209" s="40" t="str">
        <f aca="true">IF(OR(F209="",E209="Done",E209="Cancelled"),"",F209-TODAY())</f>
        <v/>
      </c>
      <c r="H209" s="44" t="str">
        <f aca="false">IF(G209="","",IF(G209&lt;0,"OVERDUE",IF(G209=0,"DUE TODAY",IF(G209&lt;=3,"DUE SOON",""))))</f>
        <v/>
      </c>
      <c r="I209" s="43"/>
      <c r="J209" s="43"/>
      <c r="K209" s="41"/>
      <c r="L209" s="41"/>
      <c r="M209" s="41"/>
    </row>
    <row r="210" customFormat="false" ht="18" hidden="false" customHeight="true" outlineLevel="0" collapsed="false">
      <c r="A210" s="40" t="str">
        <f aca="false">IF(B210="","",ROW()-4)</f>
        <v/>
      </c>
      <c r="B210" s="41"/>
      <c r="C210" s="42"/>
      <c r="D210" s="42"/>
      <c r="E210" s="42"/>
      <c r="F210" s="43"/>
      <c r="G210" s="40" t="str">
        <f aca="true">IF(OR(F210="",E210="Done",E210="Cancelled"),"",F210-TODAY())</f>
        <v/>
      </c>
      <c r="H210" s="44" t="str">
        <f aca="false">IF(G210="","",IF(G210&lt;0,"OVERDUE",IF(G210=0,"DUE TODAY",IF(G210&lt;=3,"DUE SOON",""))))</f>
        <v/>
      </c>
      <c r="I210" s="43"/>
      <c r="J210" s="43"/>
      <c r="K210" s="41"/>
      <c r="L210" s="41"/>
      <c r="M210" s="41"/>
    </row>
    <row r="211" customFormat="false" ht="18" hidden="false" customHeight="true" outlineLevel="0" collapsed="false">
      <c r="A211" s="40" t="str">
        <f aca="false">IF(B211="","",ROW()-4)</f>
        <v/>
      </c>
      <c r="B211" s="41"/>
      <c r="C211" s="42"/>
      <c r="D211" s="42"/>
      <c r="E211" s="42"/>
      <c r="F211" s="43"/>
      <c r="G211" s="40" t="str">
        <f aca="true">IF(OR(F211="",E211="Done",E211="Cancelled"),"",F211-TODAY())</f>
        <v/>
      </c>
      <c r="H211" s="44" t="str">
        <f aca="false">IF(G211="","",IF(G211&lt;0,"OVERDUE",IF(G211=0,"DUE TODAY",IF(G211&lt;=3,"DUE SOON",""))))</f>
        <v/>
      </c>
      <c r="I211" s="43"/>
      <c r="J211" s="43"/>
      <c r="K211" s="41"/>
      <c r="L211" s="41"/>
      <c r="M211" s="41"/>
    </row>
    <row r="212" customFormat="false" ht="18" hidden="false" customHeight="true" outlineLevel="0" collapsed="false">
      <c r="A212" s="40" t="str">
        <f aca="false">IF(B212="","",ROW()-4)</f>
        <v/>
      </c>
      <c r="B212" s="41"/>
      <c r="C212" s="42"/>
      <c r="D212" s="42"/>
      <c r="E212" s="42"/>
      <c r="F212" s="43"/>
      <c r="G212" s="40" t="str">
        <f aca="true">IF(OR(F212="",E212="Done",E212="Cancelled"),"",F212-TODAY())</f>
        <v/>
      </c>
      <c r="H212" s="44" t="str">
        <f aca="false">IF(G212="","",IF(G212&lt;0,"OVERDUE",IF(G212=0,"DUE TODAY",IF(G212&lt;=3,"DUE SOON",""))))</f>
        <v/>
      </c>
      <c r="I212" s="43"/>
      <c r="J212" s="43"/>
      <c r="K212" s="41"/>
      <c r="L212" s="41"/>
      <c r="M212" s="41"/>
    </row>
    <row r="213" customFormat="false" ht="18" hidden="false" customHeight="true" outlineLevel="0" collapsed="false">
      <c r="A213" s="40" t="str">
        <f aca="false">IF(B213="","",ROW()-4)</f>
        <v/>
      </c>
      <c r="B213" s="41"/>
      <c r="C213" s="42"/>
      <c r="D213" s="42"/>
      <c r="E213" s="42"/>
      <c r="F213" s="43"/>
      <c r="G213" s="40" t="str">
        <f aca="true">IF(OR(F213="",E213="Done",E213="Cancelled"),"",F213-TODAY())</f>
        <v/>
      </c>
      <c r="H213" s="44" t="str">
        <f aca="false">IF(G213="","",IF(G213&lt;0,"OVERDUE",IF(G213=0,"DUE TODAY",IF(G213&lt;=3,"DUE SOON",""))))</f>
        <v/>
      </c>
      <c r="I213" s="43"/>
      <c r="J213" s="43"/>
      <c r="K213" s="41"/>
      <c r="L213" s="41"/>
      <c r="M213" s="41"/>
    </row>
    <row r="214" customFormat="false" ht="18" hidden="false" customHeight="true" outlineLevel="0" collapsed="false">
      <c r="A214" s="40" t="str">
        <f aca="false">IF(B214="","",ROW()-4)</f>
        <v/>
      </c>
      <c r="B214" s="41"/>
      <c r="C214" s="42"/>
      <c r="D214" s="42"/>
      <c r="E214" s="42"/>
      <c r="F214" s="43"/>
      <c r="G214" s="40" t="str">
        <f aca="true">IF(OR(F214="",E214="Done",E214="Cancelled"),"",F214-TODAY())</f>
        <v/>
      </c>
      <c r="H214" s="44" t="str">
        <f aca="false">IF(G214="","",IF(G214&lt;0,"OVERDUE",IF(G214=0,"DUE TODAY",IF(G214&lt;=3,"DUE SOON",""))))</f>
        <v/>
      </c>
      <c r="I214" s="43"/>
      <c r="J214" s="43"/>
      <c r="K214" s="41"/>
      <c r="L214" s="41"/>
      <c r="M214" s="41"/>
    </row>
    <row r="215" customFormat="false" ht="18" hidden="false" customHeight="true" outlineLevel="0" collapsed="false">
      <c r="A215" s="40" t="str">
        <f aca="false">IF(B215="","",ROW()-4)</f>
        <v/>
      </c>
      <c r="B215" s="41"/>
      <c r="C215" s="42"/>
      <c r="D215" s="42"/>
      <c r="E215" s="42"/>
      <c r="F215" s="43"/>
      <c r="G215" s="40" t="str">
        <f aca="true">IF(OR(F215="",E215="Done",E215="Cancelled"),"",F215-TODAY())</f>
        <v/>
      </c>
      <c r="H215" s="44" t="str">
        <f aca="false">IF(G215="","",IF(G215&lt;0,"OVERDUE",IF(G215=0,"DUE TODAY",IF(G215&lt;=3,"DUE SOON",""))))</f>
        <v/>
      </c>
      <c r="I215" s="43"/>
      <c r="J215" s="43"/>
      <c r="K215" s="41"/>
      <c r="L215" s="41"/>
      <c r="M215" s="41"/>
    </row>
    <row r="216" customFormat="false" ht="18" hidden="false" customHeight="true" outlineLevel="0" collapsed="false">
      <c r="A216" s="40" t="str">
        <f aca="false">IF(B216="","",ROW()-4)</f>
        <v/>
      </c>
      <c r="B216" s="41"/>
      <c r="C216" s="42"/>
      <c r="D216" s="42"/>
      <c r="E216" s="42"/>
      <c r="F216" s="43"/>
      <c r="G216" s="40" t="str">
        <f aca="true">IF(OR(F216="",E216="Done",E216="Cancelled"),"",F216-TODAY())</f>
        <v/>
      </c>
      <c r="H216" s="44" t="str">
        <f aca="false">IF(G216="","",IF(G216&lt;0,"OVERDUE",IF(G216=0,"DUE TODAY",IF(G216&lt;=3,"DUE SOON",""))))</f>
        <v/>
      </c>
      <c r="I216" s="43"/>
      <c r="J216" s="43"/>
      <c r="K216" s="41"/>
      <c r="L216" s="41"/>
      <c r="M216" s="41"/>
    </row>
    <row r="217" customFormat="false" ht="18" hidden="false" customHeight="true" outlineLevel="0" collapsed="false">
      <c r="A217" s="40" t="str">
        <f aca="false">IF(B217="","",ROW()-4)</f>
        <v/>
      </c>
      <c r="B217" s="41"/>
      <c r="C217" s="42"/>
      <c r="D217" s="42"/>
      <c r="E217" s="42"/>
      <c r="F217" s="43"/>
      <c r="G217" s="40" t="str">
        <f aca="true">IF(OR(F217="",E217="Done",E217="Cancelled"),"",F217-TODAY())</f>
        <v/>
      </c>
      <c r="H217" s="44" t="str">
        <f aca="false">IF(G217="","",IF(G217&lt;0,"OVERDUE",IF(G217=0,"DUE TODAY",IF(G217&lt;=3,"DUE SOON",""))))</f>
        <v/>
      </c>
      <c r="I217" s="43"/>
      <c r="J217" s="43"/>
      <c r="K217" s="41"/>
      <c r="L217" s="41"/>
      <c r="M217" s="41"/>
    </row>
    <row r="218" customFormat="false" ht="18" hidden="false" customHeight="true" outlineLevel="0" collapsed="false">
      <c r="A218" s="40" t="str">
        <f aca="false">IF(B218="","",ROW()-4)</f>
        <v/>
      </c>
      <c r="B218" s="41"/>
      <c r="C218" s="42"/>
      <c r="D218" s="42"/>
      <c r="E218" s="42"/>
      <c r="F218" s="43"/>
      <c r="G218" s="40" t="str">
        <f aca="true">IF(OR(F218="",E218="Done",E218="Cancelled"),"",F218-TODAY())</f>
        <v/>
      </c>
      <c r="H218" s="44" t="str">
        <f aca="false">IF(G218="","",IF(G218&lt;0,"OVERDUE",IF(G218=0,"DUE TODAY",IF(G218&lt;=3,"DUE SOON",""))))</f>
        <v/>
      </c>
      <c r="I218" s="43"/>
      <c r="J218" s="43"/>
      <c r="K218" s="41"/>
      <c r="L218" s="41"/>
      <c r="M218" s="41"/>
    </row>
    <row r="219" customFormat="false" ht="18" hidden="false" customHeight="true" outlineLevel="0" collapsed="false">
      <c r="A219" s="40" t="str">
        <f aca="false">IF(B219="","",ROW()-4)</f>
        <v/>
      </c>
      <c r="B219" s="41"/>
      <c r="C219" s="42"/>
      <c r="D219" s="42"/>
      <c r="E219" s="42"/>
      <c r="F219" s="43"/>
      <c r="G219" s="40" t="str">
        <f aca="true">IF(OR(F219="",E219="Done",E219="Cancelled"),"",F219-TODAY())</f>
        <v/>
      </c>
      <c r="H219" s="44" t="str">
        <f aca="false">IF(G219="","",IF(G219&lt;0,"OVERDUE",IF(G219=0,"DUE TODAY",IF(G219&lt;=3,"DUE SOON",""))))</f>
        <v/>
      </c>
      <c r="I219" s="43"/>
      <c r="J219" s="43"/>
      <c r="K219" s="41"/>
      <c r="L219" s="41"/>
      <c r="M219" s="41"/>
    </row>
    <row r="220" customFormat="false" ht="18" hidden="false" customHeight="true" outlineLevel="0" collapsed="false">
      <c r="A220" s="40" t="str">
        <f aca="false">IF(B220="","",ROW()-4)</f>
        <v/>
      </c>
      <c r="B220" s="41"/>
      <c r="C220" s="42"/>
      <c r="D220" s="42"/>
      <c r="E220" s="42"/>
      <c r="F220" s="43"/>
      <c r="G220" s="40" t="str">
        <f aca="true">IF(OR(F220="",E220="Done",E220="Cancelled"),"",F220-TODAY())</f>
        <v/>
      </c>
      <c r="H220" s="44" t="str">
        <f aca="false">IF(G220="","",IF(G220&lt;0,"OVERDUE",IF(G220=0,"DUE TODAY",IF(G220&lt;=3,"DUE SOON",""))))</f>
        <v/>
      </c>
      <c r="I220" s="43"/>
      <c r="J220" s="43"/>
      <c r="K220" s="41"/>
      <c r="L220" s="41"/>
      <c r="M220" s="41"/>
    </row>
    <row r="221" customFormat="false" ht="18" hidden="false" customHeight="true" outlineLevel="0" collapsed="false">
      <c r="A221" s="40" t="str">
        <f aca="false">IF(B221="","",ROW()-4)</f>
        <v/>
      </c>
      <c r="B221" s="41"/>
      <c r="C221" s="42"/>
      <c r="D221" s="42"/>
      <c r="E221" s="42"/>
      <c r="F221" s="43"/>
      <c r="G221" s="40" t="str">
        <f aca="true">IF(OR(F221="",E221="Done",E221="Cancelled"),"",F221-TODAY())</f>
        <v/>
      </c>
      <c r="H221" s="44" t="str">
        <f aca="false">IF(G221="","",IF(G221&lt;0,"OVERDUE",IF(G221=0,"DUE TODAY",IF(G221&lt;=3,"DUE SOON",""))))</f>
        <v/>
      </c>
      <c r="I221" s="43"/>
      <c r="J221" s="43"/>
      <c r="K221" s="41"/>
      <c r="L221" s="41"/>
      <c r="M221" s="41"/>
    </row>
    <row r="222" customFormat="false" ht="18" hidden="false" customHeight="true" outlineLevel="0" collapsed="false">
      <c r="A222" s="40" t="str">
        <f aca="false">IF(B222="","",ROW()-4)</f>
        <v/>
      </c>
      <c r="B222" s="41"/>
      <c r="C222" s="42"/>
      <c r="D222" s="42"/>
      <c r="E222" s="42"/>
      <c r="F222" s="43"/>
      <c r="G222" s="40" t="str">
        <f aca="true">IF(OR(F222="",E222="Done",E222="Cancelled"),"",F222-TODAY())</f>
        <v/>
      </c>
      <c r="H222" s="44" t="str">
        <f aca="false">IF(G222="","",IF(G222&lt;0,"OVERDUE",IF(G222=0,"DUE TODAY",IF(G222&lt;=3,"DUE SOON",""))))</f>
        <v/>
      </c>
      <c r="I222" s="43"/>
      <c r="J222" s="43"/>
      <c r="K222" s="41"/>
      <c r="L222" s="41"/>
      <c r="M222" s="41"/>
    </row>
    <row r="223" customFormat="false" ht="18" hidden="false" customHeight="true" outlineLevel="0" collapsed="false">
      <c r="A223" s="40" t="str">
        <f aca="false">IF(B223="","",ROW()-4)</f>
        <v/>
      </c>
      <c r="B223" s="41"/>
      <c r="C223" s="42"/>
      <c r="D223" s="42"/>
      <c r="E223" s="42"/>
      <c r="F223" s="43"/>
      <c r="G223" s="40" t="str">
        <f aca="true">IF(OR(F223="",E223="Done",E223="Cancelled"),"",F223-TODAY())</f>
        <v/>
      </c>
      <c r="H223" s="44" t="str">
        <f aca="false">IF(G223="","",IF(G223&lt;0,"OVERDUE",IF(G223=0,"DUE TODAY",IF(G223&lt;=3,"DUE SOON",""))))</f>
        <v/>
      </c>
      <c r="I223" s="43"/>
      <c r="J223" s="43"/>
      <c r="K223" s="41"/>
      <c r="L223" s="41"/>
      <c r="M223" s="41"/>
    </row>
    <row r="224" customFormat="false" ht="18" hidden="false" customHeight="true" outlineLevel="0" collapsed="false">
      <c r="A224" s="40" t="str">
        <f aca="false">IF(B224="","",ROW()-4)</f>
        <v/>
      </c>
      <c r="B224" s="41"/>
      <c r="C224" s="42"/>
      <c r="D224" s="42"/>
      <c r="E224" s="42"/>
      <c r="F224" s="43"/>
      <c r="G224" s="40" t="str">
        <f aca="true">IF(OR(F224="",E224="Done",E224="Cancelled"),"",F224-TODAY())</f>
        <v/>
      </c>
      <c r="H224" s="44" t="str">
        <f aca="false">IF(G224="","",IF(G224&lt;0,"OVERDUE",IF(G224=0,"DUE TODAY",IF(G224&lt;=3,"DUE SOON",""))))</f>
        <v/>
      </c>
      <c r="I224" s="43"/>
      <c r="J224" s="43"/>
      <c r="K224" s="41"/>
      <c r="L224" s="41"/>
      <c r="M224" s="41"/>
    </row>
    <row r="225" customFormat="false" ht="18" hidden="false" customHeight="true" outlineLevel="0" collapsed="false">
      <c r="A225" s="40" t="str">
        <f aca="false">IF(B225="","",ROW()-4)</f>
        <v/>
      </c>
      <c r="B225" s="41"/>
      <c r="C225" s="42"/>
      <c r="D225" s="42"/>
      <c r="E225" s="42"/>
      <c r="F225" s="43"/>
      <c r="G225" s="40" t="str">
        <f aca="true">IF(OR(F225="",E225="Done",E225="Cancelled"),"",F225-TODAY())</f>
        <v/>
      </c>
      <c r="H225" s="44" t="str">
        <f aca="false">IF(G225="","",IF(G225&lt;0,"OVERDUE",IF(G225=0,"DUE TODAY",IF(G225&lt;=3,"DUE SOON",""))))</f>
        <v/>
      </c>
      <c r="I225" s="43"/>
      <c r="J225" s="43"/>
      <c r="K225" s="41"/>
      <c r="L225" s="41"/>
      <c r="M225" s="41"/>
    </row>
    <row r="226" customFormat="false" ht="18" hidden="false" customHeight="true" outlineLevel="0" collapsed="false">
      <c r="A226" s="40" t="str">
        <f aca="false">IF(B226="","",ROW()-4)</f>
        <v/>
      </c>
      <c r="B226" s="41"/>
      <c r="C226" s="42"/>
      <c r="D226" s="42"/>
      <c r="E226" s="42"/>
      <c r="F226" s="43"/>
      <c r="G226" s="40" t="str">
        <f aca="true">IF(OR(F226="",E226="Done",E226="Cancelled"),"",F226-TODAY())</f>
        <v/>
      </c>
      <c r="H226" s="44" t="str">
        <f aca="false">IF(G226="","",IF(G226&lt;0,"OVERDUE",IF(G226=0,"DUE TODAY",IF(G226&lt;=3,"DUE SOON",""))))</f>
        <v/>
      </c>
      <c r="I226" s="43"/>
      <c r="J226" s="43"/>
      <c r="K226" s="41"/>
      <c r="L226" s="41"/>
      <c r="M226" s="41"/>
    </row>
    <row r="227" customFormat="false" ht="18" hidden="false" customHeight="true" outlineLevel="0" collapsed="false">
      <c r="A227" s="40" t="str">
        <f aca="false">IF(B227="","",ROW()-4)</f>
        <v/>
      </c>
      <c r="B227" s="41"/>
      <c r="C227" s="42"/>
      <c r="D227" s="42"/>
      <c r="E227" s="42"/>
      <c r="F227" s="43"/>
      <c r="G227" s="40" t="str">
        <f aca="true">IF(OR(F227="",E227="Done",E227="Cancelled"),"",F227-TODAY())</f>
        <v/>
      </c>
      <c r="H227" s="44" t="str">
        <f aca="false">IF(G227="","",IF(G227&lt;0,"OVERDUE",IF(G227=0,"DUE TODAY",IF(G227&lt;=3,"DUE SOON",""))))</f>
        <v/>
      </c>
      <c r="I227" s="43"/>
      <c r="J227" s="43"/>
      <c r="K227" s="41"/>
      <c r="L227" s="41"/>
      <c r="M227" s="41"/>
    </row>
    <row r="228" customFormat="false" ht="18" hidden="false" customHeight="true" outlineLevel="0" collapsed="false">
      <c r="A228" s="40" t="str">
        <f aca="false">IF(B228="","",ROW()-4)</f>
        <v/>
      </c>
      <c r="B228" s="41"/>
      <c r="C228" s="42"/>
      <c r="D228" s="42"/>
      <c r="E228" s="42"/>
      <c r="F228" s="43"/>
      <c r="G228" s="40" t="str">
        <f aca="true">IF(OR(F228="",E228="Done",E228="Cancelled"),"",F228-TODAY())</f>
        <v/>
      </c>
      <c r="H228" s="44" t="str">
        <f aca="false">IF(G228="","",IF(G228&lt;0,"OVERDUE",IF(G228=0,"DUE TODAY",IF(G228&lt;=3,"DUE SOON",""))))</f>
        <v/>
      </c>
      <c r="I228" s="43"/>
      <c r="J228" s="43"/>
      <c r="K228" s="41"/>
      <c r="L228" s="41"/>
      <c r="M228" s="41"/>
    </row>
    <row r="229" customFormat="false" ht="18" hidden="false" customHeight="true" outlineLevel="0" collapsed="false">
      <c r="A229" s="40" t="str">
        <f aca="false">IF(B229="","",ROW()-4)</f>
        <v/>
      </c>
      <c r="B229" s="41"/>
      <c r="C229" s="42"/>
      <c r="D229" s="42"/>
      <c r="E229" s="42"/>
      <c r="F229" s="43"/>
      <c r="G229" s="40" t="str">
        <f aca="true">IF(OR(F229="",E229="Done",E229="Cancelled"),"",F229-TODAY())</f>
        <v/>
      </c>
      <c r="H229" s="44" t="str">
        <f aca="false">IF(G229="","",IF(G229&lt;0,"OVERDUE",IF(G229=0,"DUE TODAY",IF(G229&lt;=3,"DUE SOON",""))))</f>
        <v/>
      </c>
      <c r="I229" s="43"/>
      <c r="J229" s="43"/>
      <c r="K229" s="41"/>
      <c r="L229" s="41"/>
      <c r="M229" s="41"/>
    </row>
    <row r="230" customFormat="false" ht="18" hidden="false" customHeight="true" outlineLevel="0" collapsed="false">
      <c r="A230" s="40" t="str">
        <f aca="false">IF(B230="","",ROW()-4)</f>
        <v/>
      </c>
      <c r="B230" s="41"/>
      <c r="C230" s="42"/>
      <c r="D230" s="42"/>
      <c r="E230" s="42"/>
      <c r="F230" s="43"/>
      <c r="G230" s="40" t="str">
        <f aca="true">IF(OR(F230="",E230="Done",E230="Cancelled"),"",F230-TODAY())</f>
        <v/>
      </c>
      <c r="H230" s="44" t="str">
        <f aca="false">IF(G230="","",IF(G230&lt;0,"OVERDUE",IF(G230=0,"DUE TODAY",IF(G230&lt;=3,"DUE SOON",""))))</f>
        <v/>
      </c>
      <c r="I230" s="43"/>
      <c r="J230" s="43"/>
      <c r="K230" s="41"/>
      <c r="L230" s="41"/>
      <c r="M230" s="41"/>
    </row>
    <row r="231" customFormat="false" ht="18" hidden="false" customHeight="true" outlineLevel="0" collapsed="false">
      <c r="A231" s="40" t="str">
        <f aca="false">IF(B231="","",ROW()-4)</f>
        <v/>
      </c>
      <c r="B231" s="41"/>
      <c r="C231" s="42"/>
      <c r="D231" s="42"/>
      <c r="E231" s="42"/>
      <c r="F231" s="43"/>
      <c r="G231" s="40" t="str">
        <f aca="true">IF(OR(F231="",E231="Done",E231="Cancelled"),"",F231-TODAY())</f>
        <v/>
      </c>
      <c r="H231" s="44" t="str">
        <f aca="false">IF(G231="","",IF(G231&lt;0,"OVERDUE",IF(G231=0,"DUE TODAY",IF(G231&lt;=3,"DUE SOON",""))))</f>
        <v/>
      </c>
      <c r="I231" s="43"/>
      <c r="J231" s="43"/>
      <c r="K231" s="41"/>
      <c r="L231" s="41"/>
      <c r="M231" s="41"/>
    </row>
    <row r="232" customFormat="false" ht="18" hidden="false" customHeight="true" outlineLevel="0" collapsed="false">
      <c r="A232" s="40" t="str">
        <f aca="false">IF(B232="","",ROW()-4)</f>
        <v/>
      </c>
      <c r="B232" s="41"/>
      <c r="C232" s="42"/>
      <c r="D232" s="42"/>
      <c r="E232" s="42"/>
      <c r="F232" s="43"/>
      <c r="G232" s="40" t="str">
        <f aca="true">IF(OR(F232="",E232="Done",E232="Cancelled"),"",F232-TODAY())</f>
        <v/>
      </c>
      <c r="H232" s="44" t="str">
        <f aca="false">IF(G232="","",IF(G232&lt;0,"OVERDUE",IF(G232=0,"DUE TODAY",IF(G232&lt;=3,"DUE SOON",""))))</f>
        <v/>
      </c>
      <c r="I232" s="43"/>
      <c r="J232" s="43"/>
      <c r="K232" s="41"/>
      <c r="L232" s="41"/>
      <c r="M232" s="41"/>
    </row>
    <row r="233" customFormat="false" ht="18" hidden="false" customHeight="true" outlineLevel="0" collapsed="false">
      <c r="A233" s="40" t="str">
        <f aca="false">IF(B233="","",ROW()-4)</f>
        <v/>
      </c>
      <c r="B233" s="41"/>
      <c r="C233" s="42"/>
      <c r="D233" s="42"/>
      <c r="E233" s="42"/>
      <c r="F233" s="43"/>
      <c r="G233" s="40" t="str">
        <f aca="true">IF(OR(F233="",E233="Done",E233="Cancelled"),"",F233-TODAY())</f>
        <v/>
      </c>
      <c r="H233" s="44" t="str">
        <f aca="false">IF(G233="","",IF(G233&lt;0,"OVERDUE",IF(G233=0,"DUE TODAY",IF(G233&lt;=3,"DUE SOON",""))))</f>
        <v/>
      </c>
      <c r="I233" s="43"/>
      <c r="J233" s="43"/>
      <c r="K233" s="41"/>
      <c r="L233" s="41"/>
      <c r="M233" s="41"/>
    </row>
    <row r="234" customFormat="false" ht="18" hidden="false" customHeight="true" outlineLevel="0" collapsed="false">
      <c r="A234" s="40" t="str">
        <f aca="false">IF(B234="","",ROW()-4)</f>
        <v/>
      </c>
      <c r="B234" s="41"/>
      <c r="C234" s="42"/>
      <c r="D234" s="42"/>
      <c r="E234" s="42"/>
      <c r="F234" s="43"/>
      <c r="G234" s="40" t="str">
        <f aca="true">IF(OR(F234="",E234="Done",E234="Cancelled"),"",F234-TODAY())</f>
        <v/>
      </c>
      <c r="H234" s="44" t="str">
        <f aca="false">IF(G234="","",IF(G234&lt;0,"OVERDUE",IF(G234=0,"DUE TODAY",IF(G234&lt;=3,"DUE SOON",""))))</f>
        <v/>
      </c>
      <c r="I234" s="43"/>
      <c r="J234" s="43"/>
      <c r="K234" s="41"/>
      <c r="L234" s="41"/>
      <c r="M234" s="41"/>
    </row>
    <row r="235" customFormat="false" ht="18" hidden="false" customHeight="true" outlineLevel="0" collapsed="false">
      <c r="A235" s="40" t="str">
        <f aca="false">IF(B235="","",ROW()-4)</f>
        <v/>
      </c>
      <c r="B235" s="41"/>
      <c r="C235" s="42"/>
      <c r="D235" s="42"/>
      <c r="E235" s="42"/>
      <c r="F235" s="43"/>
      <c r="G235" s="40" t="str">
        <f aca="true">IF(OR(F235="",E235="Done",E235="Cancelled"),"",F235-TODAY())</f>
        <v/>
      </c>
      <c r="H235" s="44" t="str">
        <f aca="false">IF(G235="","",IF(G235&lt;0,"OVERDUE",IF(G235=0,"DUE TODAY",IF(G235&lt;=3,"DUE SOON",""))))</f>
        <v/>
      </c>
      <c r="I235" s="43"/>
      <c r="J235" s="43"/>
      <c r="K235" s="41"/>
      <c r="L235" s="41"/>
      <c r="M235" s="41"/>
    </row>
    <row r="236" customFormat="false" ht="18" hidden="false" customHeight="true" outlineLevel="0" collapsed="false">
      <c r="A236" s="40" t="str">
        <f aca="false">IF(B236="","",ROW()-4)</f>
        <v/>
      </c>
      <c r="B236" s="41"/>
      <c r="C236" s="42"/>
      <c r="D236" s="42"/>
      <c r="E236" s="42"/>
      <c r="F236" s="43"/>
      <c r="G236" s="40" t="str">
        <f aca="true">IF(OR(F236="",E236="Done",E236="Cancelled"),"",F236-TODAY())</f>
        <v/>
      </c>
      <c r="H236" s="44" t="str">
        <f aca="false">IF(G236="","",IF(G236&lt;0,"OVERDUE",IF(G236=0,"DUE TODAY",IF(G236&lt;=3,"DUE SOON",""))))</f>
        <v/>
      </c>
      <c r="I236" s="43"/>
      <c r="J236" s="43"/>
      <c r="K236" s="41"/>
      <c r="L236" s="41"/>
      <c r="M236" s="41"/>
    </row>
    <row r="237" customFormat="false" ht="18" hidden="false" customHeight="true" outlineLevel="0" collapsed="false">
      <c r="A237" s="40" t="str">
        <f aca="false">IF(B237="","",ROW()-4)</f>
        <v/>
      </c>
      <c r="B237" s="41"/>
      <c r="C237" s="42"/>
      <c r="D237" s="42"/>
      <c r="E237" s="42"/>
      <c r="F237" s="43"/>
      <c r="G237" s="40" t="str">
        <f aca="true">IF(OR(F237="",E237="Done",E237="Cancelled"),"",F237-TODAY())</f>
        <v/>
      </c>
      <c r="H237" s="44" t="str">
        <f aca="false">IF(G237="","",IF(G237&lt;0,"OVERDUE",IF(G237=0,"DUE TODAY",IF(G237&lt;=3,"DUE SOON",""))))</f>
        <v/>
      </c>
      <c r="I237" s="43"/>
      <c r="J237" s="43"/>
      <c r="K237" s="41"/>
      <c r="L237" s="41"/>
      <c r="M237" s="41"/>
    </row>
    <row r="238" customFormat="false" ht="18" hidden="false" customHeight="true" outlineLevel="0" collapsed="false">
      <c r="A238" s="40" t="str">
        <f aca="false">IF(B238="","",ROW()-4)</f>
        <v/>
      </c>
      <c r="B238" s="41"/>
      <c r="C238" s="42"/>
      <c r="D238" s="42"/>
      <c r="E238" s="42"/>
      <c r="F238" s="43"/>
      <c r="G238" s="40" t="str">
        <f aca="true">IF(OR(F238="",E238="Done",E238="Cancelled"),"",F238-TODAY())</f>
        <v/>
      </c>
      <c r="H238" s="44" t="str">
        <f aca="false">IF(G238="","",IF(G238&lt;0,"OVERDUE",IF(G238=0,"DUE TODAY",IF(G238&lt;=3,"DUE SOON",""))))</f>
        <v/>
      </c>
      <c r="I238" s="43"/>
      <c r="J238" s="43"/>
      <c r="K238" s="41"/>
      <c r="L238" s="41"/>
      <c r="M238" s="41"/>
    </row>
    <row r="239" customFormat="false" ht="18" hidden="false" customHeight="true" outlineLevel="0" collapsed="false">
      <c r="A239" s="40" t="str">
        <f aca="false">IF(B239="","",ROW()-4)</f>
        <v/>
      </c>
      <c r="B239" s="41"/>
      <c r="C239" s="42"/>
      <c r="D239" s="42"/>
      <c r="E239" s="42"/>
      <c r="F239" s="43"/>
      <c r="G239" s="40" t="str">
        <f aca="true">IF(OR(F239="",E239="Done",E239="Cancelled"),"",F239-TODAY())</f>
        <v/>
      </c>
      <c r="H239" s="44" t="str">
        <f aca="false">IF(G239="","",IF(G239&lt;0,"OVERDUE",IF(G239=0,"DUE TODAY",IF(G239&lt;=3,"DUE SOON",""))))</f>
        <v/>
      </c>
      <c r="I239" s="43"/>
      <c r="J239" s="43"/>
      <c r="K239" s="41"/>
      <c r="L239" s="41"/>
      <c r="M239" s="41"/>
    </row>
    <row r="240" customFormat="false" ht="18" hidden="false" customHeight="true" outlineLevel="0" collapsed="false">
      <c r="A240" s="40" t="str">
        <f aca="false">IF(B240="","",ROW()-4)</f>
        <v/>
      </c>
      <c r="B240" s="41"/>
      <c r="C240" s="42"/>
      <c r="D240" s="42"/>
      <c r="E240" s="42"/>
      <c r="F240" s="43"/>
      <c r="G240" s="40" t="str">
        <f aca="true">IF(OR(F240="",E240="Done",E240="Cancelled"),"",F240-TODAY())</f>
        <v/>
      </c>
      <c r="H240" s="44" t="str">
        <f aca="false">IF(G240="","",IF(G240&lt;0,"OVERDUE",IF(G240=0,"DUE TODAY",IF(G240&lt;=3,"DUE SOON",""))))</f>
        <v/>
      </c>
      <c r="I240" s="43"/>
      <c r="J240" s="43"/>
      <c r="K240" s="41"/>
      <c r="L240" s="41"/>
      <c r="M240" s="41"/>
    </row>
    <row r="241" customFormat="false" ht="18" hidden="false" customHeight="true" outlineLevel="0" collapsed="false">
      <c r="A241" s="40" t="str">
        <f aca="false">IF(B241="","",ROW()-4)</f>
        <v/>
      </c>
      <c r="B241" s="41"/>
      <c r="C241" s="42"/>
      <c r="D241" s="42"/>
      <c r="E241" s="42"/>
      <c r="F241" s="43"/>
      <c r="G241" s="40" t="str">
        <f aca="true">IF(OR(F241="",E241="Done",E241="Cancelled"),"",F241-TODAY())</f>
        <v/>
      </c>
      <c r="H241" s="44" t="str">
        <f aca="false">IF(G241="","",IF(G241&lt;0,"OVERDUE",IF(G241=0,"DUE TODAY",IF(G241&lt;=3,"DUE SOON",""))))</f>
        <v/>
      </c>
      <c r="I241" s="43"/>
      <c r="J241" s="43"/>
      <c r="K241" s="41"/>
      <c r="L241" s="41"/>
      <c r="M241" s="41"/>
    </row>
    <row r="242" customFormat="false" ht="18" hidden="false" customHeight="true" outlineLevel="0" collapsed="false">
      <c r="A242" s="40" t="str">
        <f aca="false">IF(B242="","",ROW()-4)</f>
        <v/>
      </c>
      <c r="B242" s="41"/>
      <c r="C242" s="42"/>
      <c r="D242" s="42"/>
      <c r="E242" s="42"/>
      <c r="F242" s="43"/>
      <c r="G242" s="40" t="str">
        <f aca="true">IF(OR(F242="",E242="Done",E242="Cancelled"),"",F242-TODAY())</f>
        <v/>
      </c>
      <c r="H242" s="44" t="str">
        <f aca="false">IF(G242="","",IF(G242&lt;0,"OVERDUE",IF(G242=0,"DUE TODAY",IF(G242&lt;=3,"DUE SOON",""))))</f>
        <v/>
      </c>
      <c r="I242" s="43"/>
      <c r="J242" s="43"/>
      <c r="K242" s="41"/>
      <c r="L242" s="41"/>
      <c r="M242" s="41"/>
    </row>
    <row r="243" customFormat="false" ht="18" hidden="false" customHeight="true" outlineLevel="0" collapsed="false">
      <c r="A243" s="40" t="str">
        <f aca="false">IF(B243="","",ROW()-4)</f>
        <v/>
      </c>
      <c r="B243" s="41"/>
      <c r="C243" s="42"/>
      <c r="D243" s="42"/>
      <c r="E243" s="42"/>
      <c r="F243" s="43"/>
      <c r="G243" s="40" t="str">
        <f aca="true">IF(OR(F243="",E243="Done",E243="Cancelled"),"",F243-TODAY())</f>
        <v/>
      </c>
      <c r="H243" s="44" t="str">
        <f aca="false">IF(G243="","",IF(G243&lt;0,"OVERDUE",IF(G243=0,"DUE TODAY",IF(G243&lt;=3,"DUE SOON",""))))</f>
        <v/>
      </c>
      <c r="I243" s="43"/>
      <c r="J243" s="43"/>
      <c r="K243" s="41"/>
      <c r="L243" s="41"/>
      <c r="M243" s="41"/>
    </row>
    <row r="244" customFormat="false" ht="18" hidden="false" customHeight="true" outlineLevel="0" collapsed="false">
      <c r="A244" s="40" t="str">
        <f aca="false">IF(B244="","",ROW()-4)</f>
        <v/>
      </c>
      <c r="B244" s="41"/>
      <c r="C244" s="42"/>
      <c r="D244" s="42"/>
      <c r="E244" s="42"/>
      <c r="F244" s="43"/>
      <c r="G244" s="40" t="str">
        <f aca="true">IF(OR(F244="",E244="Done",E244="Cancelled"),"",F244-TODAY())</f>
        <v/>
      </c>
      <c r="H244" s="44" t="str">
        <f aca="false">IF(G244="","",IF(G244&lt;0,"OVERDUE",IF(G244=0,"DUE TODAY",IF(G244&lt;=3,"DUE SOON",""))))</f>
        <v/>
      </c>
      <c r="I244" s="43"/>
      <c r="J244" s="43"/>
      <c r="K244" s="41"/>
      <c r="L244" s="41"/>
      <c r="M244" s="41"/>
    </row>
    <row r="245" customFormat="false" ht="18" hidden="false" customHeight="true" outlineLevel="0" collapsed="false">
      <c r="A245" s="40" t="str">
        <f aca="false">IF(B245="","",ROW()-4)</f>
        <v/>
      </c>
      <c r="B245" s="41"/>
      <c r="C245" s="42"/>
      <c r="D245" s="42"/>
      <c r="E245" s="42"/>
      <c r="F245" s="43"/>
      <c r="G245" s="40" t="str">
        <f aca="true">IF(OR(F245="",E245="Done",E245="Cancelled"),"",F245-TODAY())</f>
        <v/>
      </c>
      <c r="H245" s="44" t="str">
        <f aca="false">IF(G245="","",IF(G245&lt;0,"OVERDUE",IF(G245=0,"DUE TODAY",IF(G245&lt;=3,"DUE SOON",""))))</f>
        <v/>
      </c>
      <c r="I245" s="43"/>
      <c r="J245" s="43"/>
      <c r="K245" s="41"/>
      <c r="L245" s="41"/>
      <c r="M245" s="41"/>
    </row>
    <row r="246" customFormat="false" ht="18" hidden="false" customHeight="true" outlineLevel="0" collapsed="false">
      <c r="A246" s="40" t="str">
        <f aca="false">IF(B246="","",ROW()-4)</f>
        <v/>
      </c>
      <c r="B246" s="41"/>
      <c r="C246" s="42"/>
      <c r="D246" s="42"/>
      <c r="E246" s="42"/>
      <c r="F246" s="43"/>
      <c r="G246" s="40" t="str">
        <f aca="true">IF(OR(F246="",E246="Done",E246="Cancelled"),"",F246-TODAY())</f>
        <v/>
      </c>
      <c r="H246" s="44" t="str">
        <f aca="false">IF(G246="","",IF(G246&lt;0,"OVERDUE",IF(G246=0,"DUE TODAY",IF(G246&lt;=3,"DUE SOON",""))))</f>
        <v/>
      </c>
      <c r="I246" s="43"/>
      <c r="J246" s="43"/>
      <c r="K246" s="41"/>
      <c r="L246" s="41"/>
      <c r="M246" s="41"/>
    </row>
    <row r="247" customFormat="false" ht="18" hidden="false" customHeight="true" outlineLevel="0" collapsed="false">
      <c r="A247" s="40" t="str">
        <f aca="false">IF(B247="","",ROW()-4)</f>
        <v/>
      </c>
      <c r="B247" s="41"/>
      <c r="C247" s="42"/>
      <c r="D247" s="42"/>
      <c r="E247" s="42"/>
      <c r="F247" s="43"/>
      <c r="G247" s="40" t="str">
        <f aca="true">IF(OR(F247="",E247="Done",E247="Cancelled"),"",F247-TODAY())</f>
        <v/>
      </c>
      <c r="H247" s="44" t="str">
        <f aca="false">IF(G247="","",IF(G247&lt;0,"OVERDUE",IF(G247=0,"DUE TODAY",IF(G247&lt;=3,"DUE SOON",""))))</f>
        <v/>
      </c>
      <c r="I247" s="43"/>
      <c r="J247" s="43"/>
      <c r="K247" s="41"/>
      <c r="L247" s="41"/>
      <c r="M247" s="41"/>
    </row>
    <row r="248" customFormat="false" ht="18" hidden="false" customHeight="true" outlineLevel="0" collapsed="false">
      <c r="A248" s="40" t="str">
        <f aca="false">IF(B248="","",ROW()-4)</f>
        <v/>
      </c>
      <c r="B248" s="41"/>
      <c r="C248" s="42"/>
      <c r="D248" s="42"/>
      <c r="E248" s="42"/>
      <c r="F248" s="43"/>
      <c r="G248" s="40" t="str">
        <f aca="true">IF(OR(F248="",E248="Done",E248="Cancelled"),"",F248-TODAY())</f>
        <v/>
      </c>
      <c r="H248" s="44" t="str">
        <f aca="false">IF(G248="","",IF(G248&lt;0,"OVERDUE",IF(G248=0,"DUE TODAY",IF(G248&lt;=3,"DUE SOON",""))))</f>
        <v/>
      </c>
      <c r="I248" s="43"/>
      <c r="J248" s="43"/>
      <c r="K248" s="41"/>
      <c r="L248" s="41"/>
      <c r="M248" s="41"/>
    </row>
    <row r="249" customFormat="false" ht="18" hidden="false" customHeight="true" outlineLevel="0" collapsed="false">
      <c r="A249" s="40" t="str">
        <f aca="false">IF(B249="","",ROW()-4)</f>
        <v/>
      </c>
      <c r="B249" s="41"/>
      <c r="C249" s="42"/>
      <c r="D249" s="42"/>
      <c r="E249" s="42"/>
      <c r="F249" s="43"/>
      <c r="G249" s="40" t="str">
        <f aca="true">IF(OR(F249="",E249="Done",E249="Cancelled"),"",F249-TODAY())</f>
        <v/>
      </c>
      <c r="H249" s="44" t="str">
        <f aca="false">IF(G249="","",IF(G249&lt;0,"OVERDUE",IF(G249=0,"DUE TODAY",IF(G249&lt;=3,"DUE SOON",""))))</f>
        <v/>
      </c>
      <c r="I249" s="43"/>
      <c r="J249" s="43"/>
      <c r="K249" s="41"/>
      <c r="L249" s="41"/>
      <c r="M249" s="41"/>
    </row>
    <row r="250" customFormat="false" ht="18" hidden="false" customHeight="true" outlineLevel="0" collapsed="false">
      <c r="A250" s="40" t="str">
        <f aca="false">IF(B250="","",ROW()-4)</f>
        <v/>
      </c>
      <c r="B250" s="41"/>
      <c r="C250" s="42"/>
      <c r="D250" s="42"/>
      <c r="E250" s="42"/>
      <c r="F250" s="43"/>
      <c r="G250" s="40" t="str">
        <f aca="true">IF(OR(F250="",E250="Done",E250="Cancelled"),"",F250-TODAY())</f>
        <v/>
      </c>
      <c r="H250" s="44" t="str">
        <f aca="false">IF(G250="","",IF(G250&lt;0,"OVERDUE",IF(G250=0,"DUE TODAY",IF(G250&lt;=3,"DUE SOON",""))))</f>
        <v/>
      </c>
      <c r="I250" s="43"/>
      <c r="J250" s="43"/>
      <c r="K250" s="41"/>
      <c r="L250" s="41"/>
      <c r="M250" s="41"/>
    </row>
    <row r="251" customFormat="false" ht="18" hidden="false" customHeight="true" outlineLevel="0" collapsed="false">
      <c r="A251" s="40" t="str">
        <f aca="false">IF(B251="","",ROW()-4)</f>
        <v/>
      </c>
      <c r="B251" s="41"/>
      <c r="C251" s="42"/>
      <c r="D251" s="42"/>
      <c r="E251" s="42"/>
      <c r="F251" s="43"/>
      <c r="G251" s="40" t="str">
        <f aca="true">IF(OR(F251="",E251="Done",E251="Cancelled"),"",F251-TODAY())</f>
        <v/>
      </c>
      <c r="H251" s="44" t="str">
        <f aca="false">IF(G251="","",IF(G251&lt;0,"OVERDUE",IF(G251=0,"DUE TODAY",IF(G251&lt;=3,"DUE SOON",""))))</f>
        <v/>
      </c>
      <c r="I251" s="43"/>
      <c r="J251" s="43"/>
      <c r="K251" s="41"/>
      <c r="L251" s="41"/>
      <c r="M251" s="41"/>
    </row>
    <row r="252" customFormat="false" ht="18" hidden="false" customHeight="true" outlineLevel="0" collapsed="false">
      <c r="A252" s="40" t="str">
        <f aca="false">IF(B252="","",ROW()-4)</f>
        <v/>
      </c>
      <c r="B252" s="41"/>
      <c r="C252" s="42"/>
      <c r="D252" s="42"/>
      <c r="E252" s="42"/>
      <c r="F252" s="43"/>
      <c r="G252" s="40" t="str">
        <f aca="true">IF(OR(F252="",E252="Done",E252="Cancelled"),"",F252-TODAY())</f>
        <v/>
      </c>
      <c r="H252" s="44" t="str">
        <f aca="false">IF(G252="","",IF(G252&lt;0,"OVERDUE",IF(G252=0,"DUE TODAY",IF(G252&lt;=3,"DUE SOON",""))))</f>
        <v/>
      </c>
      <c r="I252" s="43"/>
      <c r="J252" s="43"/>
      <c r="K252" s="41"/>
      <c r="L252" s="41"/>
      <c r="M252" s="41"/>
    </row>
    <row r="253" customFormat="false" ht="18" hidden="false" customHeight="true" outlineLevel="0" collapsed="false">
      <c r="A253" s="40" t="str">
        <f aca="false">IF(B253="","",ROW()-4)</f>
        <v/>
      </c>
      <c r="B253" s="41"/>
      <c r="C253" s="42"/>
      <c r="D253" s="42"/>
      <c r="E253" s="42"/>
      <c r="F253" s="43"/>
      <c r="G253" s="40" t="str">
        <f aca="true">IF(OR(F253="",E253="Done",E253="Cancelled"),"",F253-TODAY())</f>
        <v/>
      </c>
      <c r="H253" s="44" t="str">
        <f aca="false">IF(G253="","",IF(G253&lt;0,"OVERDUE",IF(G253=0,"DUE TODAY",IF(G253&lt;=3,"DUE SOON",""))))</f>
        <v/>
      </c>
      <c r="I253" s="43"/>
      <c r="J253" s="43"/>
      <c r="K253" s="41"/>
      <c r="L253" s="41"/>
      <c r="M253" s="41"/>
    </row>
    <row r="254" customFormat="false" ht="18" hidden="false" customHeight="true" outlineLevel="0" collapsed="false">
      <c r="A254" s="40" t="str">
        <f aca="false">IF(B254="","",ROW()-4)</f>
        <v/>
      </c>
      <c r="B254" s="41"/>
      <c r="C254" s="42"/>
      <c r="D254" s="42"/>
      <c r="E254" s="42"/>
      <c r="F254" s="43"/>
      <c r="G254" s="40" t="str">
        <f aca="true">IF(OR(F254="",E254="Done",E254="Cancelled"),"",F254-TODAY())</f>
        <v/>
      </c>
      <c r="H254" s="44" t="str">
        <f aca="false">IF(G254="","",IF(G254&lt;0,"OVERDUE",IF(G254=0,"DUE TODAY",IF(G254&lt;=3,"DUE SOON",""))))</f>
        <v/>
      </c>
      <c r="I254" s="43"/>
      <c r="J254" s="43"/>
      <c r="K254" s="41"/>
      <c r="L254" s="41"/>
      <c r="M254" s="41"/>
    </row>
    <row r="255" customFormat="false" ht="18" hidden="false" customHeight="true" outlineLevel="0" collapsed="false">
      <c r="A255" s="40" t="str">
        <f aca="false">IF(B255="","",ROW()-4)</f>
        <v/>
      </c>
      <c r="B255" s="41"/>
      <c r="C255" s="42"/>
      <c r="D255" s="42"/>
      <c r="E255" s="42"/>
      <c r="F255" s="43"/>
      <c r="G255" s="40" t="str">
        <f aca="true">IF(OR(F255="",E255="Done",E255="Cancelled"),"",F255-TODAY())</f>
        <v/>
      </c>
      <c r="H255" s="44" t="str">
        <f aca="false">IF(G255="","",IF(G255&lt;0,"OVERDUE",IF(G255=0,"DUE TODAY",IF(G255&lt;=3,"DUE SOON",""))))</f>
        <v/>
      </c>
      <c r="I255" s="43"/>
      <c r="J255" s="43"/>
      <c r="K255" s="41"/>
      <c r="L255" s="41"/>
      <c r="M255" s="41"/>
    </row>
    <row r="256" customFormat="false" ht="18" hidden="false" customHeight="true" outlineLevel="0" collapsed="false">
      <c r="A256" s="40" t="str">
        <f aca="false">IF(B256="","",ROW()-4)</f>
        <v/>
      </c>
      <c r="B256" s="41"/>
      <c r="C256" s="42"/>
      <c r="D256" s="42"/>
      <c r="E256" s="42"/>
      <c r="F256" s="43"/>
      <c r="G256" s="40" t="str">
        <f aca="true">IF(OR(F256="",E256="Done",E256="Cancelled"),"",F256-TODAY())</f>
        <v/>
      </c>
      <c r="H256" s="44" t="str">
        <f aca="false">IF(G256="","",IF(G256&lt;0,"OVERDUE",IF(G256=0,"DUE TODAY",IF(G256&lt;=3,"DUE SOON",""))))</f>
        <v/>
      </c>
      <c r="I256" s="43"/>
      <c r="J256" s="43"/>
      <c r="K256" s="41"/>
      <c r="L256" s="41"/>
      <c r="M256" s="41"/>
    </row>
    <row r="257" customFormat="false" ht="18" hidden="false" customHeight="true" outlineLevel="0" collapsed="false">
      <c r="A257" s="40" t="str">
        <f aca="false">IF(B257="","",ROW()-4)</f>
        <v/>
      </c>
      <c r="B257" s="41"/>
      <c r="C257" s="42"/>
      <c r="D257" s="42"/>
      <c r="E257" s="42"/>
      <c r="F257" s="43"/>
      <c r="G257" s="40" t="str">
        <f aca="true">IF(OR(F257="",E257="Done",E257="Cancelled"),"",F257-TODAY())</f>
        <v/>
      </c>
      <c r="H257" s="44" t="str">
        <f aca="false">IF(G257="","",IF(G257&lt;0,"OVERDUE",IF(G257=0,"DUE TODAY",IF(G257&lt;=3,"DUE SOON",""))))</f>
        <v/>
      </c>
      <c r="I257" s="43"/>
      <c r="J257" s="43"/>
      <c r="K257" s="41"/>
      <c r="L257" s="41"/>
      <c r="M257" s="41"/>
    </row>
    <row r="258" customFormat="false" ht="18" hidden="false" customHeight="true" outlineLevel="0" collapsed="false">
      <c r="A258" s="40" t="str">
        <f aca="false">IF(B258="","",ROW()-4)</f>
        <v/>
      </c>
      <c r="B258" s="41"/>
      <c r="C258" s="42"/>
      <c r="D258" s="42"/>
      <c r="E258" s="42"/>
      <c r="F258" s="43"/>
      <c r="G258" s="40" t="str">
        <f aca="true">IF(OR(F258="",E258="Done",E258="Cancelled"),"",F258-TODAY())</f>
        <v/>
      </c>
      <c r="H258" s="44" t="str">
        <f aca="false">IF(G258="","",IF(G258&lt;0,"OVERDUE",IF(G258=0,"DUE TODAY",IF(G258&lt;=3,"DUE SOON",""))))</f>
        <v/>
      </c>
      <c r="I258" s="43"/>
      <c r="J258" s="43"/>
      <c r="K258" s="41"/>
      <c r="L258" s="41"/>
      <c r="M258" s="41"/>
    </row>
    <row r="259" customFormat="false" ht="18" hidden="false" customHeight="true" outlineLevel="0" collapsed="false">
      <c r="A259" s="40" t="str">
        <f aca="false">IF(B259="","",ROW()-4)</f>
        <v/>
      </c>
      <c r="B259" s="41"/>
      <c r="C259" s="42"/>
      <c r="D259" s="42"/>
      <c r="E259" s="42"/>
      <c r="F259" s="43"/>
      <c r="G259" s="40" t="str">
        <f aca="true">IF(OR(F259="",E259="Done",E259="Cancelled"),"",F259-TODAY())</f>
        <v/>
      </c>
      <c r="H259" s="44" t="str">
        <f aca="false">IF(G259="","",IF(G259&lt;0,"OVERDUE",IF(G259=0,"DUE TODAY",IF(G259&lt;=3,"DUE SOON",""))))</f>
        <v/>
      </c>
      <c r="I259" s="43"/>
      <c r="J259" s="43"/>
      <c r="K259" s="41"/>
      <c r="L259" s="41"/>
      <c r="M259" s="41"/>
    </row>
    <row r="260" customFormat="false" ht="18" hidden="false" customHeight="true" outlineLevel="0" collapsed="false">
      <c r="A260" s="40" t="str">
        <f aca="false">IF(B260="","",ROW()-4)</f>
        <v/>
      </c>
      <c r="B260" s="41"/>
      <c r="C260" s="42"/>
      <c r="D260" s="42"/>
      <c r="E260" s="42"/>
      <c r="F260" s="43"/>
      <c r="G260" s="40" t="str">
        <f aca="true">IF(OR(F260="",E260="Done",E260="Cancelled"),"",F260-TODAY())</f>
        <v/>
      </c>
      <c r="H260" s="44" t="str">
        <f aca="false">IF(G260="","",IF(G260&lt;0,"OVERDUE",IF(G260=0,"DUE TODAY",IF(G260&lt;=3,"DUE SOON",""))))</f>
        <v/>
      </c>
      <c r="I260" s="43"/>
      <c r="J260" s="43"/>
      <c r="K260" s="41"/>
      <c r="L260" s="41"/>
      <c r="M260" s="41"/>
    </row>
    <row r="261" customFormat="false" ht="18" hidden="false" customHeight="true" outlineLevel="0" collapsed="false">
      <c r="A261" s="40" t="str">
        <f aca="false">IF(B261="","",ROW()-4)</f>
        <v/>
      </c>
      <c r="B261" s="41"/>
      <c r="C261" s="42"/>
      <c r="D261" s="42"/>
      <c r="E261" s="42"/>
      <c r="F261" s="43"/>
      <c r="G261" s="40" t="str">
        <f aca="true">IF(OR(F261="",E261="Done",E261="Cancelled"),"",F261-TODAY())</f>
        <v/>
      </c>
      <c r="H261" s="44" t="str">
        <f aca="false">IF(G261="","",IF(G261&lt;0,"OVERDUE",IF(G261=0,"DUE TODAY",IF(G261&lt;=3,"DUE SOON",""))))</f>
        <v/>
      </c>
      <c r="I261" s="43"/>
      <c r="J261" s="43"/>
      <c r="K261" s="41"/>
      <c r="L261" s="41"/>
      <c r="M261" s="41"/>
    </row>
    <row r="262" customFormat="false" ht="18" hidden="false" customHeight="true" outlineLevel="0" collapsed="false">
      <c r="A262" s="40" t="str">
        <f aca="false">IF(B262="","",ROW()-4)</f>
        <v/>
      </c>
      <c r="B262" s="41"/>
      <c r="C262" s="42"/>
      <c r="D262" s="42"/>
      <c r="E262" s="42"/>
      <c r="F262" s="43"/>
      <c r="G262" s="40" t="str">
        <f aca="true">IF(OR(F262="",E262="Done",E262="Cancelled"),"",F262-TODAY())</f>
        <v/>
      </c>
      <c r="H262" s="44" t="str">
        <f aca="false">IF(G262="","",IF(G262&lt;0,"OVERDUE",IF(G262=0,"DUE TODAY",IF(G262&lt;=3,"DUE SOON",""))))</f>
        <v/>
      </c>
      <c r="I262" s="43"/>
      <c r="J262" s="43"/>
      <c r="K262" s="41"/>
      <c r="L262" s="41"/>
      <c r="M262" s="41"/>
    </row>
    <row r="263" customFormat="false" ht="18" hidden="false" customHeight="true" outlineLevel="0" collapsed="false">
      <c r="A263" s="40" t="str">
        <f aca="false">IF(B263="","",ROW()-4)</f>
        <v/>
      </c>
      <c r="B263" s="41"/>
      <c r="C263" s="42"/>
      <c r="D263" s="42"/>
      <c r="E263" s="42"/>
      <c r="F263" s="43"/>
      <c r="G263" s="40" t="str">
        <f aca="true">IF(OR(F263="",E263="Done",E263="Cancelled"),"",F263-TODAY())</f>
        <v/>
      </c>
      <c r="H263" s="44" t="str">
        <f aca="false">IF(G263="","",IF(G263&lt;0,"OVERDUE",IF(G263=0,"DUE TODAY",IF(G263&lt;=3,"DUE SOON",""))))</f>
        <v/>
      </c>
      <c r="I263" s="43"/>
      <c r="J263" s="43"/>
      <c r="K263" s="41"/>
      <c r="L263" s="41"/>
      <c r="M263" s="41"/>
    </row>
    <row r="264" customFormat="false" ht="18" hidden="false" customHeight="true" outlineLevel="0" collapsed="false">
      <c r="A264" s="40" t="str">
        <f aca="false">IF(B264="","",ROW()-4)</f>
        <v/>
      </c>
      <c r="B264" s="41"/>
      <c r="C264" s="42"/>
      <c r="D264" s="42"/>
      <c r="E264" s="42"/>
      <c r="F264" s="43"/>
      <c r="G264" s="40" t="str">
        <f aca="true">IF(OR(F264="",E264="Done",E264="Cancelled"),"",F264-TODAY())</f>
        <v/>
      </c>
      <c r="H264" s="44" t="str">
        <f aca="false">IF(G264="","",IF(G264&lt;0,"OVERDUE",IF(G264=0,"DUE TODAY",IF(G264&lt;=3,"DUE SOON",""))))</f>
        <v/>
      </c>
      <c r="I264" s="43"/>
      <c r="J264" s="43"/>
      <c r="K264" s="41"/>
      <c r="L264" s="41"/>
      <c r="M264" s="41"/>
    </row>
    <row r="265" customFormat="false" ht="18" hidden="false" customHeight="true" outlineLevel="0" collapsed="false">
      <c r="A265" s="40" t="str">
        <f aca="false">IF(B265="","",ROW()-4)</f>
        <v/>
      </c>
      <c r="B265" s="41"/>
      <c r="C265" s="42"/>
      <c r="D265" s="42"/>
      <c r="E265" s="42"/>
      <c r="F265" s="43"/>
      <c r="G265" s="40" t="str">
        <f aca="true">IF(OR(F265="",E265="Done",E265="Cancelled"),"",F265-TODAY())</f>
        <v/>
      </c>
      <c r="H265" s="44" t="str">
        <f aca="false">IF(G265="","",IF(G265&lt;0,"OVERDUE",IF(G265=0,"DUE TODAY",IF(G265&lt;=3,"DUE SOON",""))))</f>
        <v/>
      </c>
      <c r="I265" s="43"/>
      <c r="J265" s="43"/>
      <c r="K265" s="41"/>
      <c r="L265" s="41"/>
      <c r="M265" s="41"/>
    </row>
    <row r="266" customFormat="false" ht="18" hidden="false" customHeight="true" outlineLevel="0" collapsed="false">
      <c r="A266" s="40" t="str">
        <f aca="false">IF(B266="","",ROW()-4)</f>
        <v/>
      </c>
      <c r="B266" s="41"/>
      <c r="C266" s="42"/>
      <c r="D266" s="42"/>
      <c r="E266" s="42"/>
      <c r="F266" s="43"/>
      <c r="G266" s="40" t="str">
        <f aca="true">IF(OR(F266="",E266="Done",E266="Cancelled"),"",F266-TODAY())</f>
        <v/>
      </c>
      <c r="H266" s="44" t="str">
        <f aca="false">IF(G266="","",IF(G266&lt;0,"OVERDUE",IF(G266=0,"DUE TODAY",IF(G266&lt;=3,"DUE SOON",""))))</f>
        <v/>
      </c>
      <c r="I266" s="43"/>
      <c r="J266" s="43"/>
      <c r="K266" s="41"/>
      <c r="L266" s="41"/>
      <c r="M266" s="41"/>
    </row>
    <row r="267" customFormat="false" ht="18" hidden="false" customHeight="true" outlineLevel="0" collapsed="false">
      <c r="A267" s="40" t="str">
        <f aca="false">IF(B267="","",ROW()-4)</f>
        <v/>
      </c>
      <c r="B267" s="41"/>
      <c r="C267" s="42"/>
      <c r="D267" s="42"/>
      <c r="E267" s="42"/>
      <c r="F267" s="43"/>
      <c r="G267" s="40" t="str">
        <f aca="true">IF(OR(F267="",E267="Done",E267="Cancelled"),"",F267-TODAY())</f>
        <v/>
      </c>
      <c r="H267" s="44" t="str">
        <f aca="false">IF(G267="","",IF(G267&lt;0,"OVERDUE",IF(G267=0,"DUE TODAY",IF(G267&lt;=3,"DUE SOON",""))))</f>
        <v/>
      </c>
      <c r="I267" s="43"/>
      <c r="J267" s="43"/>
      <c r="K267" s="41"/>
      <c r="L267" s="41"/>
      <c r="M267" s="41"/>
    </row>
    <row r="268" customFormat="false" ht="18" hidden="false" customHeight="true" outlineLevel="0" collapsed="false">
      <c r="A268" s="40" t="str">
        <f aca="false">IF(B268="","",ROW()-4)</f>
        <v/>
      </c>
      <c r="B268" s="41"/>
      <c r="C268" s="42"/>
      <c r="D268" s="42"/>
      <c r="E268" s="42"/>
      <c r="F268" s="43"/>
      <c r="G268" s="40" t="str">
        <f aca="true">IF(OR(F268="",E268="Done",E268="Cancelled"),"",F268-TODAY())</f>
        <v/>
      </c>
      <c r="H268" s="44" t="str">
        <f aca="false">IF(G268="","",IF(G268&lt;0,"OVERDUE",IF(G268=0,"DUE TODAY",IF(G268&lt;=3,"DUE SOON",""))))</f>
        <v/>
      </c>
      <c r="I268" s="43"/>
      <c r="J268" s="43"/>
      <c r="K268" s="41"/>
      <c r="L268" s="41"/>
      <c r="M268" s="41"/>
    </row>
    <row r="269" customFormat="false" ht="18" hidden="false" customHeight="true" outlineLevel="0" collapsed="false">
      <c r="A269" s="40" t="str">
        <f aca="false">IF(B269="","",ROW()-4)</f>
        <v/>
      </c>
      <c r="B269" s="41"/>
      <c r="C269" s="42"/>
      <c r="D269" s="42"/>
      <c r="E269" s="42"/>
      <c r="F269" s="43"/>
      <c r="G269" s="40" t="str">
        <f aca="true">IF(OR(F269="",E269="Done",E269="Cancelled"),"",F269-TODAY())</f>
        <v/>
      </c>
      <c r="H269" s="44" t="str">
        <f aca="false">IF(G269="","",IF(G269&lt;0,"OVERDUE",IF(G269=0,"DUE TODAY",IF(G269&lt;=3,"DUE SOON",""))))</f>
        <v/>
      </c>
      <c r="I269" s="43"/>
      <c r="J269" s="43"/>
      <c r="K269" s="41"/>
      <c r="L269" s="41"/>
      <c r="M269" s="41"/>
    </row>
    <row r="270" customFormat="false" ht="18" hidden="false" customHeight="true" outlineLevel="0" collapsed="false">
      <c r="A270" s="40" t="str">
        <f aca="false">IF(B270="","",ROW()-4)</f>
        <v/>
      </c>
      <c r="B270" s="41"/>
      <c r="C270" s="42"/>
      <c r="D270" s="42"/>
      <c r="E270" s="42"/>
      <c r="F270" s="43"/>
      <c r="G270" s="40" t="str">
        <f aca="true">IF(OR(F270="",E270="Done",E270="Cancelled"),"",F270-TODAY())</f>
        <v/>
      </c>
      <c r="H270" s="44" t="str">
        <f aca="false">IF(G270="","",IF(G270&lt;0,"OVERDUE",IF(G270=0,"DUE TODAY",IF(G270&lt;=3,"DUE SOON",""))))</f>
        <v/>
      </c>
      <c r="I270" s="43"/>
      <c r="J270" s="43"/>
      <c r="K270" s="41"/>
      <c r="L270" s="41"/>
      <c r="M270" s="41"/>
    </row>
    <row r="271" customFormat="false" ht="18" hidden="false" customHeight="true" outlineLevel="0" collapsed="false">
      <c r="A271" s="40" t="str">
        <f aca="false">IF(B271="","",ROW()-4)</f>
        <v/>
      </c>
      <c r="B271" s="41"/>
      <c r="C271" s="42"/>
      <c r="D271" s="42"/>
      <c r="E271" s="42"/>
      <c r="F271" s="43"/>
      <c r="G271" s="40" t="str">
        <f aca="true">IF(OR(F271="",E271="Done",E271="Cancelled"),"",F271-TODAY())</f>
        <v/>
      </c>
      <c r="H271" s="44" t="str">
        <f aca="false">IF(G271="","",IF(G271&lt;0,"OVERDUE",IF(G271=0,"DUE TODAY",IF(G271&lt;=3,"DUE SOON",""))))</f>
        <v/>
      </c>
      <c r="I271" s="43"/>
      <c r="J271" s="43"/>
      <c r="K271" s="41"/>
      <c r="L271" s="41"/>
      <c r="M271" s="41"/>
    </row>
    <row r="272" customFormat="false" ht="18" hidden="false" customHeight="true" outlineLevel="0" collapsed="false">
      <c r="A272" s="40" t="str">
        <f aca="false">IF(B272="","",ROW()-4)</f>
        <v/>
      </c>
      <c r="B272" s="41"/>
      <c r="C272" s="42"/>
      <c r="D272" s="42"/>
      <c r="E272" s="42"/>
      <c r="F272" s="43"/>
      <c r="G272" s="40" t="str">
        <f aca="true">IF(OR(F272="",E272="Done",E272="Cancelled"),"",F272-TODAY())</f>
        <v/>
      </c>
      <c r="H272" s="44" t="str">
        <f aca="false">IF(G272="","",IF(G272&lt;0,"OVERDUE",IF(G272=0,"DUE TODAY",IF(G272&lt;=3,"DUE SOON",""))))</f>
        <v/>
      </c>
      <c r="I272" s="43"/>
      <c r="J272" s="43"/>
      <c r="K272" s="41"/>
      <c r="L272" s="41"/>
      <c r="M272" s="41"/>
    </row>
    <row r="273" customFormat="false" ht="18" hidden="false" customHeight="true" outlineLevel="0" collapsed="false">
      <c r="A273" s="40" t="str">
        <f aca="false">IF(B273="","",ROW()-4)</f>
        <v/>
      </c>
      <c r="B273" s="41"/>
      <c r="C273" s="42"/>
      <c r="D273" s="42"/>
      <c r="E273" s="42"/>
      <c r="F273" s="43"/>
      <c r="G273" s="40" t="str">
        <f aca="true">IF(OR(F273="",E273="Done",E273="Cancelled"),"",F273-TODAY())</f>
        <v/>
      </c>
      <c r="H273" s="44" t="str">
        <f aca="false">IF(G273="","",IF(G273&lt;0,"OVERDUE",IF(G273=0,"DUE TODAY",IF(G273&lt;=3,"DUE SOON",""))))</f>
        <v/>
      </c>
      <c r="I273" s="43"/>
      <c r="J273" s="43"/>
      <c r="K273" s="41"/>
      <c r="L273" s="41"/>
      <c r="M273" s="41"/>
    </row>
    <row r="274" customFormat="false" ht="18" hidden="false" customHeight="true" outlineLevel="0" collapsed="false">
      <c r="A274" s="40" t="str">
        <f aca="false">IF(B274="","",ROW()-4)</f>
        <v/>
      </c>
      <c r="B274" s="41"/>
      <c r="C274" s="42"/>
      <c r="D274" s="42"/>
      <c r="E274" s="42"/>
      <c r="F274" s="43"/>
      <c r="G274" s="40" t="str">
        <f aca="true">IF(OR(F274="",E274="Done",E274="Cancelled"),"",F274-TODAY())</f>
        <v/>
      </c>
      <c r="H274" s="44" t="str">
        <f aca="false">IF(G274="","",IF(G274&lt;0,"OVERDUE",IF(G274=0,"DUE TODAY",IF(G274&lt;=3,"DUE SOON",""))))</f>
        <v/>
      </c>
      <c r="I274" s="43"/>
      <c r="J274" s="43"/>
      <c r="K274" s="41"/>
      <c r="L274" s="41"/>
      <c r="M274" s="41"/>
    </row>
    <row r="275" customFormat="false" ht="18" hidden="false" customHeight="true" outlineLevel="0" collapsed="false">
      <c r="A275" s="40" t="str">
        <f aca="false">IF(B275="","",ROW()-4)</f>
        <v/>
      </c>
      <c r="B275" s="41"/>
      <c r="C275" s="42"/>
      <c r="D275" s="42"/>
      <c r="E275" s="42"/>
      <c r="F275" s="43"/>
      <c r="G275" s="40" t="str">
        <f aca="true">IF(OR(F275="",E275="Done",E275="Cancelled"),"",F275-TODAY())</f>
        <v/>
      </c>
      <c r="H275" s="44" t="str">
        <f aca="false">IF(G275="","",IF(G275&lt;0,"OVERDUE",IF(G275=0,"DUE TODAY",IF(G275&lt;=3,"DUE SOON",""))))</f>
        <v/>
      </c>
      <c r="I275" s="43"/>
      <c r="J275" s="43"/>
      <c r="K275" s="41"/>
      <c r="L275" s="41"/>
      <c r="M275" s="41"/>
    </row>
    <row r="276" customFormat="false" ht="18" hidden="false" customHeight="true" outlineLevel="0" collapsed="false">
      <c r="A276" s="40" t="str">
        <f aca="false">IF(B276="","",ROW()-4)</f>
        <v/>
      </c>
      <c r="B276" s="41"/>
      <c r="C276" s="42"/>
      <c r="D276" s="42"/>
      <c r="E276" s="42"/>
      <c r="F276" s="43"/>
      <c r="G276" s="40" t="str">
        <f aca="true">IF(OR(F276="",E276="Done",E276="Cancelled"),"",F276-TODAY())</f>
        <v/>
      </c>
      <c r="H276" s="44" t="str">
        <f aca="false">IF(G276="","",IF(G276&lt;0,"OVERDUE",IF(G276=0,"DUE TODAY",IF(G276&lt;=3,"DUE SOON",""))))</f>
        <v/>
      </c>
      <c r="I276" s="43"/>
      <c r="J276" s="43"/>
      <c r="K276" s="41"/>
      <c r="L276" s="41"/>
      <c r="M276" s="41"/>
    </row>
    <row r="277" customFormat="false" ht="18" hidden="false" customHeight="true" outlineLevel="0" collapsed="false">
      <c r="A277" s="40" t="str">
        <f aca="false">IF(B277="","",ROW()-4)</f>
        <v/>
      </c>
      <c r="B277" s="41"/>
      <c r="C277" s="42"/>
      <c r="D277" s="42"/>
      <c r="E277" s="42"/>
      <c r="F277" s="43"/>
      <c r="G277" s="40" t="str">
        <f aca="true">IF(OR(F277="",E277="Done",E277="Cancelled"),"",F277-TODAY())</f>
        <v/>
      </c>
      <c r="H277" s="44" t="str">
        <f aca="false">IF(G277="","",IF(G277&lt;0,"OVERDUE",IF(G277=0,"DUE TODAY",IF(G277&lt;=3,"DUE SOON",""))))</f>
        <v/>
      </c>
      <c r="I277" s="43"/>
      <c r="J277" s="43"/>
      <c r="K277" s="41"/>
      <c r="L277" s="41"/>
      <c r="M277" s="41"/>
    </row>
    <row r="278" customFormat="false" ht="18" hidden="false" customHeight="true" outlineLevel="0" collapsed="false">
      <c r="A278" s="40" t="str">
        <f aca="false">IF(B278="","",ROW()-4)</f>
        <v/>
      </c>
      <c r="B278" s="41"/>
      <c r="C278" s="42"/>
      <c r="D278" s="42"/>
      <c r="E278" s="42"/>
      <c r="F278" s="43"/>
      <c r="G278" s="40" t="str">
        <f aca="true">IF(OR(F278="",E278="Done",E278="Cancelled"),"",F278-TODAY())</f>
        <v/>
      </c>
      <c r="H278" s="44" t="str">
        <f aca="false">IF(G278="","",IF(G278&lt;0,"OVERDUE",IF(G278=0,"DUE TODAY",IF(G278&lt;=3,"DUE SOON",""))))</f>
        <v/>
      </c>
      <c r="I278" s="43"/>
      <c r="J278" s="43"/>
      <c r="K278" s="41"/>
      <c r="L278" s="41"/>
      <c r="M278" s="41"/>
    </row>
    <row r="279" customFormat="false" ht="18" hidden="false" customHeight="true" outlineLevel="0" collapsed="false">
      <c r="A279" s="40" t="str">
        <f aca="false">IF(B279="","",ROW()-4)</f>
        <v/>
      </c>
      <c r="B279" s="41"/>
      <c r="C279" s="42"/>
      <c r="D279" s="42"/>
      <c r="E279" s="42"/>
      <c r="F279" s="43"/>
      <c r="G279" s="40" t="str">
        <f aca="true">IF(OR(F279="",E279="Done",E279="Cancelled"),"",F279-TODAY())</f>
        <v/>
      </c>
      <c r="H279" s="44" t="str">
        <f aca="false">IF(G279="","",IF(G279&lt;0,"OVERDUE",IF(G279=0,"DUE TODAY",IF(G279&lt;=3,"DUE SOON",""))))</f>
        <v/>
      </c>
      <c r="I279" s="43"/>
      <c r="J279" s="43"/>
      <c r="K279" s="41"/>
      <c r="L279" s="41"/>
      <c r="M279" s="41"/>
    </row>
    <row r="280" customFormat="false" ht="18" hidden="false" customHeight="true" outlineLevel="0" collapsed="false">
      <c r="A280" s="40" t="str">
        <f aca="false">IF(B280="","",ROW()-4)</f>
        <v/>
      </c>
      <c r="B280" s="41"/>
      <c r="C280" s="42"/>
      <c r="D280" s="42"/>
      <c r="E280" s="42"/>
      <c r="F280" s="43"/>
      <c r="G280" s="40" t="str">
        <f aca="true">IF(OR(F280="",E280="Done",E280="Cancelled"),"",F280-TODAY())</f>
        <v/>
      </c>
      <c r="H280" s="44" t="str">
        <f aca="false">IF(G280="","",IF(G280&lt;0,"OVERDUE",IF(G280=0,"DUE TODAY",IF(G280&lt;=3,"DUE SOON",""))))</f>
        <v/>
      </c>
      <c r="I280" s="43"/>
      <c r="J280" s="43"/>
      <c r="K280" s="41"/>
      <c r="L280" s="41"/>
      <c r="M280" s="41"/>
    </row>
    <row r="281" customFormat="false" ht="18" hidden="false" customHeight="true" outlineLevel="0" collapsed="false">
      <c r="A281" s="40" t="str">
        <f aca="false">IF(B281="","",ROW()-4)</f>
        <v/>
      </c>
      <c r="B281" s="41"/>
      <c r="C281" s="42"/>
      <c r="D281" s="42"/>
      <c r="E281" s="42"/>
      <c r="F281" s="43"/>
      <c r="G281" s="40" t="str">
        <f aca="true">IF(OR(F281="",E281="Done",E281="Cancelled"),"",F281-TODAY())</f>
        <v/>
      </c>
      <c r="H281" s="44" t="str">
        <f aca="false">IF(G281="","",IF(G281&lt;0,"OVERDUE",IF(G281=0,"DUE TODAY",IF(G281&lt;=3,"DUE SOON",""))))</f>
        <v/>
      </c>
      <c r="I281" s="43"/>
      <c r="J281" s="43"/>
      <c r="K281" s="41"/>
      <c r="L281" s="41"/>
      <c r="M281" s="41"/>
    </row>
    <row r="282" customFormat="false" ht="18" hidden="false" customHeight="true" outlineLevel="0" collapsed="false">
      <c r="A282" s="40" t="str">
        <f aca="false">IF(B282="","",ROW()-4)</f>
        <v/>
      </c>
      <c r="B282" s="41"/>
      <c r="C282" s="42"/>
      <c r="D282" s="42"/>
      <c r="E282" s="42"/>
      <c r="F282" s="43"/>
      <c r="G282" s="40" t="str">
        <f aca="true">IF(OR(F282="",E282="Done",E282="Cancelled"),"",F282-TODAY())</f>
        <v/>
      </c>
      <c r="H282" s="44" t="str">
        <f aca="false">IF(G282="","",IF(G282&lt;0,"OVERDUE",IF(G282=0,"DUE TODAY",IF(G282&lt;=3,"DUE SOON",""))))</f>
        <v/>
      </c>
      <c r="I282" s="43"/>
      <c r="J282" s="43"/>
      <c r="K282" s="41"/>
      <c r="L282" s="41"/>
      <c r="M282" s="41"/>
    </row>
    <row r="283" customFormat="false" ht="18" hidden="false" customHeight="true" outlineLevel="0" collapsed="false">
      <c r="A283" s="40" t="str">
        <f aca="false">IF(B283="","",ROW()-4)</f>
        <v/>
      </c>
      <c r="B283" s="41"/>
      <c r="C283" s="42"/>
      <c r="D283" s="42"/>
      <c r="E283" s="42"/>
      <c r="F283" s="43"/>
      <c r="G283" s="40" t="str">
        <f aca="true">IF(OR(F283="",E283="Done",E283="Cancelled"),"",F283-TODAY())</f>
        <v/>
      </c>
      <c r="H283" s="44" t="str">
        <f aca="false">IF(G283="","",IF(G283&lt;0,"OVERDUE",IF(G283=0,"DUE TODAY",IF(G283&lt;=3,"DUE SOON",""))))</f>
        <v/>
      </c>
      <c r="I283" s="43"/>
      <c r="J283" s="43"/>
      <c r="K283" s="41"/>
      <c r="L283" s="41"/>
      <c r="M283" s="41"/>
    </row>
    <row r="284" customFormat="false" ht="18" hidden="false" customHeight="true" outlineLevel="0" collapsed="false">
      <c r="A284" s="40" t="str">
        <f aca="false">IF(B284="","",ROW()-4)</f>
        <v/>
      </c>
      <c r="B284" s="41"/>
      <c r="C284" s="42"/>
      <c r="D284" s="42"/>
      <c r="E284" s="42"/>
      <c r="F284" s="43"/>
      <c r="G284" s="40" t="str">
        <f aca="true">IF(OR(F284="",E284="Done",E284="Cancelled"),"",F284-TODAY())</f>
        <v/>
      </c>
      <c r="H284" s="44" t="str">
        <f aca="false">IF(G284="","",IF(G284&lt;0,"OVERDUE",IF(G284=0,"DUE TODAY",IF(G284&lt;=3,"DUE SOON",""))))</f>
        <v/>
      </c>
      <c r="I284" s="43"/>
      <c r="J284" s="43"/>
      <c r="K284" s="41"/>
      <c r="L284" s="41"/>
      <c r="M284" s="41"/>
    </row>
    <row r="285" customFormat="false" ht="18" hidden="false" customHeight="true" outlineLevel="0" collapsed="false">
      <c r="A285" s="40" t="str">
        <f aca="false">IF(B285="","",ROW()-4)</f>
        <v/>
      </c>
      <c r="B285" s="41"/>
      <c r="C285" s="42"/>
      <c r="D285" s="42"/>
      <c r="E285" s="42"/>
      <c r="F285" s="43"/>
      <c r="G285" s="40" t="str">
        <f aca="true">IF(OR(F285="",E285="Done",E285="Cancelled"),"",F285-TODAY())</f>
        <v/>
      </c>
      <c r="H285" s="44" t="str">
        <f aca="false">IF(G285="","",IF(G285&lt;0,"OVERDUE",IF(G285=0,"DUE TODAY",IF(G285&lt;=3,"DUE SOON",""))))</f>
        <v/>
      </c>
      <c r="I285" s="43"/>
      <c r="J285" s="43"/>
      <c r="K285" s="41"/>
      <c r="L285" s="41"/>
      <c r="M285" s="41"/>
    </row>
    <row r="286" customFormat="false" ht="18" hidden="false" customHeight="true" outlineLevel="0" collapsed="false">
      <c r="A286" s="40" t="str">
        <f aca="false">IF(B286="","",ROW()-4)</f>
        <v/>
      </c>
      <c r="B286" s="41"/>
      <c r="C286" s="42"/>
      <c r="D286" s="42"/>
      <c r="E286" s="42"/>
      <c r="F286" s="43"/>
      <c r="G286" s="40" t="str">
        <f aca="true">IF(OR(F286="",E286="Done",E286="Cancelled"),"",F286-TODAY())</f>
        <v/>
      </c>
      <c r="H286" s="44" t="str">
        <f aca="false">IF(G286="","",IF(G286&lt;0,"OVERDUE",IF(G286=0,"DUE TODAY",IF(G286&lt;=3,"DUE SOON",""))))</f>
        <v/>
      </c>
      <c r="I286" s="43"/>
      <c r="J286" s="43"/>
      <c r="K286" s="41"/>
      <c r="L286" s="41"/>
      <c r="M286" s="41"/>
    </row>
    <row r="287" customFormat="false" ht="18" hidden="false" customHeight="true" outlineLevel="0" collapsed="false">
      <c r="A287" s="40" t="str">
        <f aca="false">IF(B287="","",ROW()-4)</f>
        <v/>
      </c>
      <c r="B287" s="41"/>
      <c r="C287" s="42"/>
      <c r="D287" s="42"/>
      <c r="E287" s="42"/>
      <c r="F287" s="43"/>
      <c r="G287" s="40" t="str">
        <f aca="true">IF(OR(F287="",E287="Done",E287="Cancelled"),"",F287-TODAY())</f>
        <v/>
      </c>
      <c r="H287" s="44" t="str">
        <f aca="false">IF(G287="","",IF(G287&lt;0,"OVERDUE",IF(G287=0,"DUE TODAY",IF(G287&lt;=3,"DUE SOON",""))))</f>
        <v/>
      </c>
      <c r="I287" s="43"/>
      <c r="J287" s="43"/>
      <c r="K287" s="41"/>
      <c r="L287" s="41"/>
      <c r="M287" s="41"/>
    </row>
    <row r="288" customFormat="false" ht="18" hidden="false" customHeight="true" outlineLevel="0" collapsed="false">
      <c r="A288" s="40" t="str">
        <f aca="false">IF(B288="","",ROW()-4)</f>
        <v/>
      </c>
      <c r="B288" s="41"/>
      <c r="C288" s="42"/>
      <c r="D288" s="42"/>
      <c r="E288" s="42"/>
      <c r="F288" s="43"/>
      <c r="G288" s="40" t="str">
        <f aca="true">IF(OR(F288="",E288="Done",E288="Cancelled"),"",F288-TODAY())</f>
        <v/>
      </c>
      <c r="H288" s="44" t="str">
        <f aca="false">IF(G288="","",IF(G288&lt;0,"OVERDUE",IF(G288=0,"DUE TODAY",IF(G288&lt;=3,"DUE SOON",""))))</f>
        <v/>
      </c>
      <c r="I288" s="43"/>
      <c r="J288" s="43"/>
      <c r="K288" s="41"/>
      <c r="L288" s="41"/>
      <c r="M288" s="41"/>
    </row>
    <row r="289" customFormat="false" ht="18" hidden="false" customHeight="true" outlineLevel="0" collapsed="false">
      <c r="A289" s="40" t="str">
        <f aca="false">IF(B289="","",ROW()-4)</f>
        <v/>
      </c>
      <c r="B289" s="41"/>
      <c r="C289" s="42"/>
      <c r="D289" s="42"/>
      <c r="E289" s="42"/>
      <c r="F289" s="43"/>
      <c r="G289" s="40" t="str">
        <f aca="true">IF(OR(F289="",E289="Done",E289="Cancelled"),"",F289-TODAY())</f>
        <v/>
      </c>
      <c r="H289" s="44" t="str">
        <f aca="false">IF(G289="","",IF(G289&lt;0,"OVERDUE",IF(G289=0,"DUE TODAY",IF(G289&lt;=3,"DUE SOON",""))))</f>
        <v/>
      </c>
      <c r="I289" s="43"/>
      <c r="J289" s="43"/>
      <c r="K289" s="41"/>
      <c r="L289" s="41"/>
      <c r="M289" s="41"/>
    </row>
    <row r="290" customFormat="false" ht="18" hidden="false" customHeight="true" outlineLevel="0" collapsed="false">
      <c r="A290" s="40" t="str">
        <f aca="false">IF(B290="","",ROW()-4)</f>
        <v/>
      </c>
      <c r="B290" s="41"/>
      <c r="C290" s="42"/>
      <c r="D290" s="42"/>
      <c r="E290" s="42"/>
      <c r="F290" s="43"/>
      <c r="G290" s="40" t="str">
        <f aca="true">IF(OR(F290="",E290="Done",E290="Cancelled"),"",F290-TODAY())</f>
        <v/>
      </c>
      <c r="H290" s="44" t="str">
        <f aca="false">IF(G290="","",IF(G290&lt;0,"OVERDUE",IF(G290=0,"DUE TODAY",IF(G290&lt;=3,"DUE SOON",""))))</f>
        <v/>
      </c>
      <c r="I290" s="43"/>
      <c r="J290" s="43"/>
      <c r="K290" s="41"/>
      <c r="L290" s="41"/>
      <c r="M290" s="41"/>
    </row>
    <row r="291" customFormat="false" ht="18" hidden="false" customHeight="true" outlineLevel="0" collapsed="false">
      <c r="A291" s="40" t="str">
        <f aca="false">IF(B291="","",ROW()-4)</f>
        <v/>
      </c>
      <c r="B291" s="41"/>
      <c r="C291" s="42"/>
      <c r="D291" s="42"/>
      <c r="E291" s="42"/>
      <c r="F291" s="43"/>
      <c r="G291" s="40" t="str">
        <f aca="true">IF(OR(F291="",E291="Done",E291="Cancelled"),"",F291-TODAY())</f>
        <v/>
      </c>
      <c r="H291" s="44" t="str">
        <f aca="false">IF(G291="","",IF(G291&lt;0,"OVERDUE",IF(G291=0,"DUE TODAY",IF(G291&lt;=3,"DUE SOON",""))))</f>
        <v/>
      </c>
      <c r="I291" s="43"/>
      <c r="J291" s="43"/>
      <c r="K291" s="41"/>
      <c r="L291" s="41"/>
      <c r="M291" s="41"/>
    </row>
    <row r="292" customFormat="false" ht="18" hidden="false" customHeight="true" outlineLevel="0" collapsed="false">
      <c r="A292" s="40" t="str">
        <f aca="false">IF(B292="","",ROW()-4)</f>
        <v/>
      </c>
      <c r="B292" s="41"/>
      <c r="C292" s="42"/>
      <c r="D292" s="42"/>
      <c r="E292" s="42"/>
      <c r="F292" s="43"/>
      <c r="G292" s="40" t="str">
        <f aca="true">IF(OR(F292="",E292="Done",E292="Cancelled"),"",F292-TODAY())</f>
        <v/>
      </c>
      <c r="H292" s="44" t="str">
        <f aca="false">IF(G292="","",IF(G292&lt;0,"OVERDUE",IF(G292=0,"DUE TODAY",IF(G292&lt;=3,"DUE SOON",""))))</f>
        <v/>
      </c>
      <c r="I292" s="43"/>
      <c r="J292" s="43"/>
      <c r="K292" s="41"/>
      <c r="L292" s="41"/>
      <c r="M292" s="41"/>
    </row>
    <row r="293" customFormat="false" ht="18" hidden="false" customHeight="true" outlineLevel="0" collapsed="false">
      <c r="A293" s="40" t="str">
        <f aca="false">IF(B293="","",ROW()-4)</f>
        <v/>
      </c>
      <c r="B293" s="41"/>
      <c r="C293" s="42"/>
      <c r="D293" s="42"/>
      <c r="E293" s="42"/>
      <c r="F293" s="43"/>
      <c r="G293" s="40" t="str">
        <f aca="true">IF(OR(F293="",E293="Done",E293="Cancelled"),"",F293-TODAY())</f>
        <v/>
      </c>
      <c r="H293" s="44" t="str">
        <f aca="false">IF(G293="","",IF(G293&lt;0,"OVERDUE",IF(G293=0,"DUE TODAY",IF(G293&lt;=3,"DUE SOON",""))))</f>
        <v/>
      </c>
      <c r="I293" s="43"/>
      <c r="J293" s="43"/>
      <c r="K293" s="41"/>
      <c r="L293" s="41"/>
      <c r="M293" s="41"/>
    </row>
    <row r="294" customFormat="false" ht="18" hidden="false" customHeight="true" outlineLevel="0" collapsed="false">
      <c r="A294" s="40" t="str">
        <f aca="false">IF(B294="","",ROW()-4)</f>
        <v/>
      </c>
      <c r="B294" s="41"/>
      <c r="C294" s="42"/>
      <c r="D294" s="42"/>
      <c r="E294" s="42"/>
      <c r="F294" s="43"/>
      <c r="G294" s="40" t="str">
        <f aca="true">IF(OR(F294="",E294="Done",E294="Cancelled"),"",F294-TODAY())</f>
        <v/>
      </c>
      <c r="H294" s="44" t="str">
        <f aca="false">IF(G294="","",IF(G294&lt;0,"OVERDUE",IF(G294=0,"DUE TODAY",IF(G294&lt;=3,"DUE SOON",""))))</f>
        <v/>
      </c>
      <c r="I294" s="43"/>
      <c r="J294" s="43"/>
      <c r="K294" s="41"/>
      <c r="L294" s="41"/>
      <c r="M294" s="41"/>
    </row>
    <row r="295" customFormat="false" ht="18" hidden="false" customHeight="true" outlineLevel="0" collapsed="false">
      <c r="A295" s="40" t="str">
        <f aca="false">IF(B295="","",ROW()-4)</f>
        <v/>
      </c>
      <c r="B295" s="41"/>
      <c r="C295" s="42"/>
      <c r="D295" s="42"/>
      <c r="E295" s="42"/>
      <c r="F295" s="43"/>
      <c r="G295" s="40" t="str">
        <f aca="true">IF(OR(F295="",E295="Done",E295="Cancelled"),"",F295-TODAY())</f>
        <v/>
      </c>
      <c r="H295" s="44" t="str">
        <f aca="false">IF(G295="","",IF(G295&lt;0,"OVERDUE",IF(G295=0,"DUE TODAY",IF(G295&lt;=3,"DUE SOON",""))))</f>
        <v/>
      </c>
      <c r="I295" s="43"/>
      <c r="J295" s="43"/>
      <c r="K295" s="41"/>
      <c r="L295" s="41"/>
      <c r="M295" s="41"/>
    </row>
    <row r="296" customFormat="false" ht="18" hidden="false" customHeight="true" outlineLevel="0" collapsed="false">
      <c r="A296" s="40" t="str">
        <f aca="false">IF(B296="","",ROW()-4)</f>
        <v/>
      </c>
      <c r="B296" s="41"/>
      <c r="C296" s="42"/>
      <c r="D296" s="42"/>
      <c r="E296" s="42"/>
      <c r="F296" s="43"/>
      <c r="G296" s="40" t="str">
        <f aca="true">IF(OR(F296="",E296="Done",E296="Cancelled"),"",F296-TODAY())</f>
        <v/>
      </c>
      <c r="H296" s="44" t="str">
        <f aca="false">IF(G296="","",IF(G296&lt;0,"OVERDUE",IF(G296=0,"DUE TODAY",IF(G296&lt;=3,"DUE SOON",""))))</f>
        <v/>
      </c>
      <c r="I296" s="43"/>
      <c r="J296" s="43"/>
      <c r="K296" s="41"/>
      <c r="L296" s="41"/>
      <c r="M296" s="41"/>
    </row>
    <row r="297" customFormat="false" ht="18" hidden="false" customHeight="true" outlineLevel="0" collapsed="false">
      <c r="A297" s="40" t="str">
        <f aca="false">IF(B297="","",ROW()-4)</f>
        <v/>
      </c>
      <c r="B297" s="41"/>
      <c r="C297" s="42"/>
      <c r="D297" s="42"/>
      <c r="E297" s="42"/>
      <c r="F297" s="43"/>
      <c r="G297" s="40" t="str">
        <f aca="true">IF(OR(F297="",E297="Done",E297="Cancelled"),"",F297-TODAY())</f>
        <v/>
      </c>
      <c r="H297" s="44" t="str">
        <f aca="false">IF(G297="","",IF(G297&lt;0,"OVERDUE",IF(G297=0,"DUE TODAY",IF(G297&lt;=3,"DUE SOON",""))))</f>
        <v/>
      </c>
      <c r="I297" s="43"/>
      <c r="J297" s="43"/>
      <c r="K297" s="41"/>
      <c r="L297" s="41"/>
      <c r="M297" s="41"/>
    </row>
    <row r="298" customFormat="false" ht="18" hidden="false" customHeight="true" outlineLevel="0" collapsed="false">
      <c r="A298" s="40" t="str">
        <f aca="false">IF(B298="","",ROW()-4)</f>
        <v/>
      </c>
      <c r="B298" s="41"/>
      <c r="C298" s="42"/>
      <c r="D298" s="42"/>
      <c r="E298" s="42"/>
      <c r="F298" s="43"/>
      <c r="G298" s="40" t="str">
        <f aca="true">IF(OR(F298="",E298="Done",E298="Cancelled"),"",F298-TODAY())</f>
        <v/>
      </c>
      <c r="H298" s="44" t="str">
        <f aca="false">IF(G298="","",IF(G298&lt;0,"OVERDUE",IF(G298=0,"DUE TODAY",IF(G298&lt;=3,"DUE SOON",""))))</f>
        <v/>
      </c>
      <c r="I298" s="43"/>
      <c r="J298" s="43"/>
      <c r="K298" s="41"/>
      <c r="L298" s="41"/>
      <c r="M298" s="41"/>
    </row>
    <row r="299" customFormat="false" ht="18" hidden="false" customHeight="true" outlineLevel="0" collapsed="false">
      <c r="A299" s="40" t="str">
        <f aca="false">IF(B299="","",ROW()-4)</f>
        <v/>
      </c>
      <c r="B299" s="41"/>
      <c r="C299" s="42"/>
      <c r="D299" s="42"/>
      <c r="E299" s="42"/>
      <c r="F299" s="43"/>
      <c r="G299" s="40" t="str">
        <f aca="true">IF(OR(F299="",E299="Done",E299="Cancelled"),"",F299-TODAY())</f>
        <v/>
      </c>
      <c r="H299" s="44" t="str">
        <f aca="false">IF(G299="","",IF(G299&lt;0,"OVERDUE",IF(G299=0,"DUE TODAY",IF(G299&lt;=3,"DUE SOON",""))))</f>
        <v/>
      </c>
      <c r="I299" s="43"/>
      <c r="J299" s="43"/>
      <c r="K299" s="41"/>
      <c r="L299" s="41"/>
      <c r="M299" s="41"/>
    </row>
    <row r="300" customFormat="false" ht="18" hidden="false" customHeight="true" outlineLevel="0" collapsed="false">
      <c r="A300" s="40" t="str">
        <f aca="false">IF(B300="","",ROW()-4)</f>
        <v/>
      </c>
      <c r="B300" s="41"/>
      <c r="C300" s="42"/>
      <c r="D300" s="42"/>
      <c r="E300" s="42"/>
      <c r="F300" s="43"/>
      <c r="G300" s="40" t="str">
        <f aca="true">IF(OR(F300="",E300="Done",E300="Cancelled"),"",F300-TODAY())</f>
        <v/>
      </c>
      <c r="H300" s="44" t="str">
        <f aca="false">IF(G300="","",IF(G300&lt;0,"OVERDUE",IF(G300=0,"DUE TODAY",IF(G300&lt;=3,"DUE SOON",""))))</f>
        <v/>
      </c>
      <c r="I300" s="43"/>
      <c r="J300" s="43"/>
      <c r="K300" s="41"/>
      <c r="L300" s="41"/>
      <c r="M300" s="41"/>
    </row>
    <row r="301" customFormat="false" ht="18" hidden="false" customHeight="true" outlineLevel="0" collapsed="false">
      <c r="A301" s="40" t="str">
        <f aca="false">IF(B301="","",ROW()-4)</f>
        <v/>
      </c>
      <c r="B301" s="41"/>
      <c r="C301" s="42"/>
      <c r="D301" s="42"/>
      <c r="E301" s="42"/>
      <c r="F301" s="43"/>
      <c r="G301" s="40" t="str">
        <f aca="true">IF(OR(F301="",E301="Done",E301="Cancelled"),"",F301-TODAY())</f>
        <v/>
      </c>
      <c r="H301" s="44" t="str">
        <f aca="false">IF(G301="","",IF(G301&lt;0,"OVERDUE",IF(G301=0,"DUE TODAY",IF(G301&lt;=3,"DUE SOON",""))))</f>
        <v/>
      </c>
      <c r="I301" s="43"/>
      <c r="J301" s="43"/>
      <c r="K301" s="41"/>
      <c r="L301" s="41"/>
      <c r="M301" s="41"/>
    </row>
    <row r="302" customFormat="false" ht="18" hidden="false" customHeight="true" outlineLevel="0" collapsed="false">
      <c r="A302" s="40" t="str">
        <f aca="false">IF(B302="","",ROW()-4)</f>
        <v/>
      </c>
      <c r="B302" s="41"/>
      <c r="C302" s="42"/>
      <c r="D302" s="42"/>
      <c r="E302" s="42"/>
      <c r="F302" s="43"/>
      <c r="G302" s="40" t="str">
        <f aca="true">IF(OR(F302="",E302="Done",E302="Cancelled"),"",F302-TODAY())</f>
        <v/>
      </c>
      <c r="H302" s="44" t="str">
        <f aca="false">IF(G302="","",IF(G302&lt;0,"OVERDUE",IF(G302=0,"DUE TODAY",IF(G302&lt;=3,"DUE SOON",""))))</f>
        <v/>
      </c>
      <c r="I302" s="43"/>
      <c r="J302" s="43"/>
      <c r="K302" s="41"/>
      <c r="L302" s="41"/>
      <c r="M302" s="41"/>
    </row>
    <row r="303" customFormat="false" ht="18" hidden="false" customHeight="true" outlineLevel="0" collapsed="false">
      <c r="A303" s="40" t="str">
        <f aca="false">IF(B303="","",ROW()-4)</f>
        <v/>
      </c>
      <c r="B303" s="41"/>
      <c r="C303" s="42"/>
      <c r="D303" s="42"/>
      <c r="E303" s="42"/>
      <c r="F303" s="43"/>
      <c r="G303" s="40" t="str">
        <f aca="true">IF(OR(F303="",E303="Done",E303="Cancelled"),"",F303-TODAY())</f>
        <v/>
      </c>
      <c r="H303" s="44" t="str">
        <f aca="false">IF(G303="","",IF(G303&lt;0,"OVERDUE",IF(G303=0,"DUE TODAY",IF(G303&lt;=3,"DUE SOON",""))))</f>
        <v/>
      </c>
      <c r="I303" s="43"/>
      <c r="J303" s="43"/>
      <c r="K303" s="41"/>
      <c r="L303" s="41"/>
      <c r="M303" s="41"/>
    </row>
    <row r="304" customFormat="false" ht="18" hidden="false" customHeight="true" outlineLevel="0" collapsed="false">
      <c r="A304" s="40" t="str">
        <f aca="false">IF(B304="","",ROW()-4)</f>
        <v/>
      </c>
      <c r="B304" s="41"/>
      <c r="C304" s="42"/>
      <c r="D304" s="42"/>
      <c r="E304" s="42"/>
      <c r="F304" s="43"/>
      <c r="G304" s="40" t="str">
        <f aca="true">IF(OR(F304="",E304="Done",E304="Cancelled"),"",F304-TODAY())</f>
        <v/>
      </c>
      <c r="H304" s="44" t="str">
        <f aca="false">IF(G304="","",IF(G304&lt;0,"OVERDUE",IF(G304=0,"DUE TODAY",IF(G304&lt;=3,"DUE SOON",""))))</f>
        <v/>
      </c>
      <c r="I304" s="43"/>
      <c r="J304" s="43"/>
      <c r="K304" s="41"/>
      <c r="L304" s="41"/>
      <c r="M304" s="41"/>
    </row>
    <row r="305" customFormat="false" ht="18" hidden="false" customHeight="true" outlineLevel="0" collapsed="false">
      <c r="A305" s="40" t="str">
        <f aca="false">IF(B305="","",ROW()-4)</f>
        <v/>
      </c>
      <c r="B305" s="41"/>
      <c r="C305" s="42"/>
      <c r="D305" s="42"/>
      <c r="E305" s="42"/>
      <c r="F305" s="43"/>
      <c r="G305" s="40" t="str">
        <f aca="true">IF(OR(F305="",E305="Done",E305="Cancelled"),"",F305-TODAY())</f>
        <v/>
      </c>
      <c r="H305" s="44" t="str">
        <f aca="false">IF(G305="","",IF(G305&lt;0,"OVERDUE",IF(G305=0,"DUE TODAY",IF(G305&lt;=3,"DUE SOON",""))))</f>
        <v/>
      </c>
      <c r="I305" s="43"/>
      <c r="J305" s="43"/>
      <c r="K305" s="41"/>
      <c r="L305" s="41"/>
      <c r="M305" s="41"/>
    </row>
    <row r="306" customFormat="false" ht="18" hidden="false" customHeight="true" outlineLevel="0" collapsed="false">
      <c r="A306" s="40" t="str">
        <f aca="false">IF(B306="","",ROW()-4)</f>
        <v/>
      </c>
      <c r="B306" s="41"/>
      <c r="C306" s="42"/>
      <c r="D306" s="42"/>
      <c r="E306" s="42"/>
      <c r="F306" s="43"/>
      <c r="G306" s="40" t="str">
        <f aca="true">IF(OR(F306="",E306="Done",E306="Cancelled"),"",F306-TODAY())</f>
        <v/>
      </c>
      <c r="H306" s="44" t="str">
        <f aca="false">IF(G306="","",IF(G306&lt;0,"OVERDUE",IF(G306=0,"DUE TODAY",IF(G306&lt;=3,"DUE SOON",""))))</f>
        <v/>
      </c>
      <c r="I306" s="43"/>
      <c r="J306" s="43"/>
      <c r="K306" s="41"/>
      <c r="L306" s="41"/>
      <c r="M306" s="41"/>
    </row>
    <row r="307" customFormat="false" ht="18" hidden="false" customHeight="true" outlineLevel="0" collapsed="false">
      <c r="A307" s="40" t="str">
        <f aca="false">IF(B307="","",ROW()-4)</f>
        <v/>
      </c>
      <c r="B307" s="41"/>
      <c r="C307" s="42"/>
      <c r="D307" s="42"/>
      <c r="E307" s="42"/>
      <c r="F307" s="43"/>
      <c r="G307" s="40" t="str">
        <f aca="true">IF(OR(F307="",E307="Done",E307="Cancelled"),"",F307-TODAY())</f>
        <v/>
      </c>
      <c r="H307" s="44" t="str">
        <f aca="false">IF(G307="","",IF(G307&lt;0,"OVERDUE",IF(G307=0,"DUE TODAY",IF(G307&lt;=3,"DUE SOON",""))))</f>
        <v/>
      </c>
      <c r="I307" s="43"/>
      <c r="J307" s="43"/>
      <c r="K307" s="41"/>
      <c r="L307" s="41"/>
      <c r="M307" s="41"/>
    </row>
    <row r="308" customFormat="false" ht="18" hidden="false" customHeight="true" outlineLevel="0" collapsed="false">
      <c r="A308" s="40" t="str">
        <f aca="false">IF(B308="","",ROW()-4)</f>
        <v/>
      </c>
      <c r="B308" s="41"/>
      <c r="C308" s="42"/>
      <c r="D308" s="42"/>
      <c r="E308" s="42"/>
      <c r="F308" s="43"/>
      <c r="G308" s="40" t="str">
        <f aca="true">IF(OR(F308="",E308="Done",E308="Cancelled"),"",F308-TODAY())</f>
        <v/>
      </c>
      <c r="H308" s="44" t="str">
        <f aca="false">IF(G308="","",IF(G308&lt;0,"OVERDUE",IF(G308=0,"DUE TODAY",IF(G308&lt;=3,"DUE SOON",""))))</f>
        <v/>
      </c>
      <c r="I308" s="43"/>
      <c r="J308" s="43"/>
      <c r="K308" s="41"/>
      <c r="L308" s="41"/>
      <c r="M308" s="41"/>
    </row>
    <row r="309" customFormat="false" ht="18" hidden="false" customHeight="true" outlineLevel="0" collapsed="false">
      <c r="A309" s="40" t="str">
        <f aca="false">IF(B309="","",ROW()-4)</f>
        <v/>
      </c>
      <c r="B309" s="41"/>
      <c r="C309" s="42"/>
      <c r="D309" s="42"/>
      <c r="E309" s="42"/>
      <c r="F309" s="43"/>
      <c r="G309" s="40" t="str">
        <f aca="true">IF(OR(F309="",E309="Done",E309="Cancelled"),"",F309-TODAY())</f>
        <v/>
      </c>
      <c r="H309" s="44" t="str">
        <f aca="false">IF(G309="","",IF(G309&lt;0,"OVERDUE",IF(G309=0,"DUE TODAY",IF(G309&lt;=3,"DUE SOON",""))))</f>
        <v/>
      </c>
      <c r="I309" s="43"/>
      <c r="J309" s="43"/>
      <c r="K309" s="41"/>
      <c r="L309" s="41"/>
      <c r="M309" s="41"/>
    </row>
    <row r="310" customFormat="false" ht="18" hidden="false" customHeight="true" outlineLevel="0" collapsed="false">
      <c r="A310" s="40" t="str">
        <f aca="false">IF(B310="","",ROW()-4)</f>
        <v/>
      </c>
      <c r="B310" s="41"/>
      <c r="C310" s="42"/>
      <c r="D310" s="42"/>
      <c r="E310" s="42"/>
      <c r="F310" s="43"/>
      <c r="G310" s="40" t="str">
        <f aca="true">IF(OR(F310="",E310="Done",E310="Cancelled"),"",F310-TODAY())</f>
        <v/>
      </c>
      <c r="H310" s="44" t="str">
        <f aca="false">IF(G310="","",IF(G310&lt;0,"OVERDUE",IF(G310=0,"DUE TODAY",IF(G310&lt;=3,"DUE SOON",""))))</f>
        <v/>
      </c>
      <c r="I310" s="43"/>
      <c r="J310" s="43"/>
      <c r="K310" s="41"/>
      <c r="L310" s="41"/>
      <c r="M310" s="41"/>
    </row>
    <row r="311" customFormat="false" ht="18" hidden="false" customHeight="true" outlineLevel="0" collapsed="false">
      <c r="A311" s="40" t="str">
        <f aca="false">IF(B311="","",ROW()-4)</f>
        <v/>
      </c>
      <c r="B311" s="41"/>
      <c r="C311" s="42"/>
      <c r="D311" s="42"/>
      <c r="E311" s="42"/>
      <c r="F311" s="43"/>
      <c r="G311" s="40" t="str">
        <f aca="true">IF(OR(F311="",E311="Done",E311="Cancelled"),"",F311-TODAY())</f>
        <v/>
      </c>
      <c r="H311" s="44" t="str">
        <f aca="false">IF(G311="","",IF(G311&lt;0,"OVERDUE",IF(G311=0,"DUE TODAY",IF(G311&lt;=3,"DUE SOON",""))))</f>
        <v/>
      </c>
      <c r="I311" s="43"/>
      <c r="J311" s="43"/>
      <c r="K311" s="41"/>
      <c r="L311" s="41"/>
      <c r="M311" s="41"/>
    </row>
    <row r="312" customFormat="false" ht="18" hidden="false" customHeight="true" outlineLevel="0" collapsed="false">
      <c r="A312" s="40" t="str">
        <f aca="false">IF(B312="","",ROW()-4)</f>
        <v/>
      </c>
      <c r="B312" s="41"/>
      <c r="C312" s="42"/>
      <c r="D312" s="42"/>
      <c r="E312" s="42"/>
      <c r="F312" s="43"/>
      <c r="G312" s="40" t="str">
        <f aca="true">IF(OR(F312="",E312="Done",E312="Cancelled"),"",F312-TODAY())</f>
        <v/>
      </c>
      <c r="H312" s="44" t="str">
        <f aca="false">IF(G312="","",IF(G312&lt;0,"OVERDUE",IF(G312=0,"DUE TODAY",IF(G312&lt;=3,"DUE SOON",""))))</f>
        <v/>
      </c>
      <c r="I312" s="43"/>
      <c r="J312" s="43"/>
      <c r="K312" s="41"/>
      <c r="L312" s="41"/>
      <c r="M312" s="41"/>
    </row>
    <row r="313" customFormat="false" ht="18" hidden="false" customHeight="true" outlineLevel="0" collapsed="false">
      <c r="A313" s="40" t="str">
        <f aca="false">IF(B313="","",ROW()-4)</f>
        <v/>
      </c>
      <c r="B313" s="41"/>
      <c r="C313" s="42"/>
      <c r="D313" s="42"/>
      <c r="E313" s="42"/>
      <c r="F313" s="43"/>
      <c r="G313" s="40" t="str">
        <f aca="true">IF(OR(F313="",E313="Done",E313="Cancelled"),"",F313-TODAY())</f>
        <v/>
      </c>
      <c r="H313" s="44" t="str">
        <f aca="false">IF(G313="","",IF(G313&lt;0,"OVERDUE",IF(G313=0,"DUE TODAY",IF(G313&lt;=3,"DUE SOON",""))))</f>
        <v/>
      </c>
      <c r="I313" s="43"/>
      <c r="J313" s="43"/>
      <c r="K313" s="41"/>
      <c r="L313" s="41"/>
      <c r="M313" s="41"/>
    </row>
    <row r="314" customFormat="false" ht="18" hidden="false" customHeight="true" outlineLevel="0" collapsed="false">
      <c r="A314" s="40" t="str">
        <f aca="false">IF(B314="","",ROW()-4)</f>
        <v/>
      </c>
      <c r="B314" s="41"/>
      <c r="C314" s="42"/>
      <c r="D314" s="42"/>
      <c r="E314" s="42"/>
      <c r="F314" s="43"/>
      <c r="G314" s="40" t="str">
        <f aca="true">IF(OR(F314="",E314="Done",E314="Cancelled"),"",F314-TODAY())</f>
        <v/>
      </c>
      <c r="H314" s="44" t="str">
        <f aca="false">IF(G314="","",IF(G314&lt;0,"OVERDUE",IF(G314=0,"DUE TODAY",IF(G314&lt;=3,"DUE SOON",""))))</f>
        <v/>
      </c>
      <c r="I314" s="43"/>
      <c r="J314" s="43"/>
      <c r="K314" s="41"/>
      <c r="L314" s="41"/>
      <c r="M314" s="41"/>
    </row>
    <row r="315" customFormat="false" ht="18" hidden="false" customHeight="true" outlineLevel="0" collapsed="false">
      <c r="A315" s="40" t="str">
        <f aca="false">IF(B315="","",ROW()-4)</f>
        <v/>
      </c>
      <c r="B315" s="41"/>
      <c r="C315" s="42"/>
      <c r="D315" s="42"/>
      <c r="E315" s="42"/>
      <c r="F315" s="43"/>
      <c r="G315" s="40" t="str">
        <f aca="true">IF(OR(F315="",E315="Done",E315="Cancelled"),"",F315-TODAY())</f>
        <v/>
      </c>
      <c r="H315" s="44" t="str">
        <f aca="false">IF(G315="","",IF(G315&lt;0,"OVERDUE",IF(G315=0,"DUE TODAY",IF(G315&lt;=3,"DUE SOON",""))))</f>
        <v/>
      </c>
      <c r="I315" s="43"/>
      <c r="J315" s="43"/>
      <c r="K315" s="41"/>
      <c r="L315" s="41"/>
      <c r="M315" s="41"/>
    </row>
    <row r="316" customFormat="false" ht="18" hidden="false" customHeight="true" outlineLevel="0" collapsed="false">
      <c r="A316" s="40" t="str">
        <f aca="false">IF(B316="","",ROW()-4)</f>
        <v/>
      </c>
      <c r="B316" s="41"/>
      <c r="C316" s="42"/>
      <c r="D316" s="42"/>
      <c r="E316" s="42"/>
      <c r="F316" s="43"/>
      <c r="G316" s="40" t="str">
        <f aca="true">IF(OR(F316="",E316="Done",E316="Cancelled"),"",F316-TODAY())</f>
        <v/>
      </c>
      <c r="H316" s="44" t="str">
        <f aca="false">IF(G316="","",IF(G316&lt;0,"OVERDUE",IF(G316=0,"DUE TODAY",IF(G316&lt;=3,"DUE SOON",""))))</f>
        <v/>
      </c>
      <c r="I316" s="43"/>
      <c r="J316" s="43"/>
      <c r="K316" s="41"/>
      <c r="L316" s="41"/>
      <c r="M316" s="41"/>
    </row>
    <row r="317" customFormat="false" ht="18" hidden="false" customHeight="true" outlineLevel="0" collapsed="false">
      <c r="A317" s="40" t="str">
        <f aca="false">IF(B317="","",ROW()-4)</f>
        <v/>
      </c>
      <c r="B317" s="41"/>
      <c r="C317" s="42"/>
      <c r="D317" s="42"/>
      <c r="E317" s="42"/>
      <c r="F317" s="43"/>
      <c r="G317" s="40" t="str">
        <f aca="true">IF(OR(F317="",E317="Done",E317="Cancelled"),"",F317-TODAY())</f>
        <v/>
      </c>
      <c r="H317" s="44" t="str">
        <f aca="false">IF(G317="","",IF(G317&lt;0,"OVERDUE",IF(G317=0,"DUE TODAY",IF(G317&lt;=3,"DUE SOON",""))))</f>
        <v/>
      </c>
      <c r="I317" s="43"/>
      <c r="J317" s="43"/>
      <c r="K317" s="41"/>
      <c r="L317" s="41"/>
      <c r="M317" s="41"/>
    </row>
    <row r="318" customFormat="false" ht="18" hidden="false" customHeight="true" outlineLevel="0" collapsed="false">
      <c r="A318" s="40" t="str">
        <f aca="false">IF(B318="","",ROW()-4)</f>
        <v/>
      </c>
      <c r="B318" s="41"/>
      <c r="C318" s="42"/>
      <c r="D318" s="42"/>
      <c r="E318" s="42"/>
      <c r="F318" s="43"/>
      <c r="G318" s="40" t="str">
        <f aca="true">IF(OR(F318="",E318="Done",E318="Cancelled"),"",F318-TODAY())</f>
        <v/>
      </c>
      <c r="H318" s="44" t="str">
        <f aca="false">IF(G318="","",IF(G318&lt;0,"OVERDUE",IF(G318=0,"DUE TODAY",IF(G318&lt;=3,"DUE SOON",""))))</f>
        <v/>
      </c>
      <c r="I318" s="43"/>
      <c r="J318" s="43"/>
      <c r="K318" s="41"/>
      <c r="L318" s="41"/>
      <c r="M318" s="41"/>
    </row>
    <row r="319" customFormat="false" ht="18" hidden="false" customHeight="true" outlineLevel="0" collapsed="false">
      <c r="A319" s="40" t="str">
        <f aca="false">IF(B319="","",ROW()-4)</f>
        <v/>
      </c>
      <c r="B319" s="41"/>
      <c r="C319" s="42"/>
      <c r="D319" s="42"/>
      <c r="E319" s="42"/>
      <c r="F319" s="43"/>
      <c r="G319" s="40" t="str">
        <f aca="true">IF(OR(F319="",E319="Done",E319="Cancelled"),"",F319-TODAY())</f>
        <v/>
      </c>
      <c r="H319" s="44" t="str">
        <f aca="false">IF(G319="","",IF(G319&lt;0,"OVERDUE",IF(G319=0,"DUE TODAY",IF(G319&lt;=3,"DUE SOON",""))))</f>
        <v/>
      </c>
      <c r="I319" s="43"/>
      <c r="J319" s="43"/>
      <c r="K319" s="41"/>
      <c r="L319" s="41"/>
      <c r="M319" s="41"/>
    </row>
    <row r="320" customFormat="false" ht="18" hidden="false" customHeight="true" outlineLevel="0" collapsed="false">
      <c r="A320" s="40" t="str">
        <f aca="false">IF(B320="","",ROW()-4)</f>
        <v/>
      </c>
      <c r="B320" s="41"/>
      <c r="C320" s="42"/>
      <c r="D320" s="42"/>
      <c r="E320" s="42"/>
      <c r="F320" s="43"/>
      <c r="G320" s="40" t="str">
        <f aca="true">IF(OR(F320="",E320="Done",E320="Cancelled"),"",F320-TODAY())</f>
        <v/>
      </c>
      <c r="H320" s="44" t="str">
        <f aca="false">IF(G320="","",IF(G320&lt;0,"OVERDUE",IF(G320=0,"DUE TODAY",IF(G320&lt;=3,"DUE SOON",""))))</f>
        <v/>
      </c>
      <c r="I320" s="43"/>
      <c r="J320" s="43"/>
      <c r="K320" s="41"/>
      <c r="L320" s="41"/>
      <c r="M320" s="41"/>
    </row>
    <row r="321" customFormat="false" ht="18" hidden="false" customHeight="true" outlineLevel="0" collapsed="false">
      <c r="A321" s="40" t="str">
        <f aca="false">IF(B321="","",ROW()-4)</f>
        <v/>
      </c>
      <c r="B321" s="41"/>
      <c r="C321" s="42"/>
      <c r="D321" s="42"/>
      <c r="E321" s="42"/>
      <c r="F321" s="43"/>
      <c r="G321" s="40" t="str">
        <f aca="true">IF(OR(F321="",E321="Done",E321="Cancelled"),"",F321-TODAY())</f>
        <v/>
      </c>
      <c r="H321" s="44" t="str">
        <f aca="false">IF(G321="","",IF(G321&lt;0,"OVERDUE",IF(G321=0,"DUE TODAY",IF(G321&lt;=3,"DUE SOON",""))))</f>
        <v/>
      </c>
      <c r="I321" s="43"/>
      <c r="J321" s="43"/>
      <c r="K321" s="41"/>
      <c r="L321" s="41"/>
      <c r="M321" s="41"/>
    </row>
    <row r="322" customFormat="false" ht="18" hidden="false" customHeight="true" outlineLevel="0" collapsed="false">
      <c r="A322" s="40" t="str">
        <f aca="false">IF(B322="","",ROW()-4)</f>
        <v/>
      </c>
      <c r="B322" s="41"/>
      <c r="C322" s="42"/>
      <c r="D322" s="42"/>
      <c r="E322" s="42"/>
      <c r="F322" s="43"/>
      <c r="G322" s="40" t="str">
        <f aca="true">IF(OR(F322="",E322="Done",E322="Cancelled"),"",F322-TODAY())</f>
        <v/>
      </c>
      <c r="H322" s="44" t="str">
        <f aca="false">IF(G322="","",IF(G322&lt;0,"OVERDUE",IF(G322=0,"DUE TODAY",IF(G322&lt;=3,"DUE SOON",""))))</f>
        <v/>
      </c>
      <c r="I322" s="43"/>
      <c r="J322" s="43"/>
      <c r="K322" s="41"/>
      <c r="L322" s="41"/>
      <c r="M322" s="41"/>
    </row>
    <row r="323" customFormat="false" ht="18" hidden="false" customHeight="true" outlineLevel="0" collapsed="false">
      <c r="A323" s="40" t="str">
        <f aca="false">IF(B323="","",ROW()-4)</f>
        <v/>
      </c>
      <c r="B323" s="41"/>
      <c r="C323" s="42"/>
      <c r="D323" s="42"/>
      <c r="E323" s="42"/>
      <c r="F323" s="43"/>
      <c r="G323" s="40" t="str">
        <f aca="true">IF(OR(F323="",E323="Done",E323="Cancelled"),"",F323-TODAY())</f>
        <v/>
      </c>
      <c r="H323" s="44" t="str">
        <f aca="false">IF(G323="","",IF(G323&lt;0,"OVERDUE",IF(G323=0,"DUE TODAY",IF(G323&lt;=3,"DUE SOON",""))))</f>
        <v/>
      </c>
      <c r="I323" s="43"/>
      <c r="J323" s="43"/>
      <c r="K323" s="41"/>
      <c r="L323" s="41"/>
      <c r="M323" s="41"/>
    </row>
    <row r="324" customFormat="false" ht="18" hidden="false" customHeight="true" outlineLevel="0" collapsed="false">
      <c r="A324" s="40" t="str">
        <f aca="false">IF(B324="","",ROW()-4)</f>
        <v/>
      </c>
      <c r="B324" s="41"/>
      <c r="C324" s="42"/>
      <c r="D324" s="42"/>
      <c r="E324" s="42"/>
      <c r="F324" s="43"/>
      <c r="G324" s="40" t="str">
        <f aca="true">IF(OR(F324="",E324="Done",E324="Cancelled"),"",F324-TODAY())</f>
        <v/>
      </c>
      <c r="H324" s="44" t="str">
        <f aca="false">IF(G324="","",IF(G324&lt;0,"OVERDUE",IF(G324=0,"DUE TODAY",IF(G324&lt;=3,"DUE SOON",""))))</f>
        <v/>
      </c>
      <c r="I324" s="43"/>
      <c r="J324" s="43"/>
      <c r="K324" s="41"/>
      <c r="L324" s="41"/>
      <c r="M324" s="41"/>
    </row>
    <row r="325" customFormat="false" ht="18" hidden="false" customHeight="true" outlineLevel="0" collapsed="false">
      <c r="A325" s="40" t="str">
        <f aca="false">IF(B325="","",ROW()-4)</f>
        <v/>
      </c>
      <c r="B325" s="41"/>
      <c r="C325" s="42"/>
      <c r="D325" s="42"/>
      <c r="E325" s="42"/>
      <c r="F325" s="43"/>
      <c r="G325" s="40" t="str">
        <f aca="true">IF(OR(F325="",E325="Done",E325="Cancelled"),"",F325-TODAY())</f>
        <v/>
      </c>
      <c r="H325" s="44" t="str">
        <f aca="false">IF(G325="","",IF(G325&lt;0,"OVERDUE",IF(G325=0,"DUE TODAY",IF(G325&lt;=3,"DUE SOON",""))))</f>
        <v/>
      </c>
      <c r="I325" s="43"/>
      <c r="J325" s="43"/>
      <c r="K325" s="41"/>
      <c r="L325" s="41"/>
      <c r="M325" s="41"/>
    </row>
    <row r="326" customFormat="false" ht="18" hidden="false" customHeight="true" outlineLevel="0" collapsed="false">
      <c r="A326" s="40" t="str">
        <f aca="false">IF(B326="","",ROW()-4)</f>
        <v/>
      </c>
      <c r="B326" s="41"/>
      <c r="C326" s="42"/>
      <c r="D326" s="42"/>
      <c r="E326" s="42"/>
      <c r="F326" s="43"/>
      <c r="G326" s="40" t="str">
        <f aca="true">IF(OR(F326="",E326="Done",E326="Cancelled"),"",F326-TODAY())</f>
        <v/>
      </c>
      <c r="H326" s="44" t="str">
        <f aca="false">IF(G326="","",IF(G326&lt;0,"OVERDUE",IF(G326=0,"DUE TODAY",IF(G326&lt;=3,"DUE SOON",""))))</f>
        <v/>
      </c>
      <c r="I326" s="43"/>
      <c r="J326" s="43"/>
      <c r="K326" s="41"/>
      <c r="L326" s="41"/>
      <c r="M326" s="41"/>
    </row>
    <row r="327" customFormat="false" ht="18" hidden="false" customHeight="true" outlineLevel="0" collapsed="false">
      <c r="A327" s="40" t="str">
        <f aca="false">IF(B327="","",ROW()-4)</f>
        <v/>
      </c>
      <c r="B327" s="41"/>
      <c r="C327" s="42"/>
      <c r="D327" s="42"/>
      <c r="E327" s="42"/>
      <c r="F327" s="43"/>
      <c r="G327" s="40" t="str">
        <f aca="true">IF(OR(F327="",E327="Done",E327="Cancelled"),"",F327-TODAY())</f>
        <v/>
      </c>
      <c r="H327" s="44" t="str">
        <f aca="false">IF(G327="","",IF(G327&lt;0,"OVERDUE",IF(G327=0,"DUE TODAY",IF(G327&lt;=3,"DUE SOON",""))))</f>
        <v/>
      </c>
      <c r="I327" s="43"/>
      <c r="J327" s="43"/>
      <c r="K327" s="41"/>
      <c r="L327" s="41"/>
      <c r="M327" s="41"/>
    </row>
    <row r="328" customFormat="false" ht="18" hidden="false" customHeight="true" outlineLevel="0" collapsed="false">
      <c r="A328" s="40" t="str">
        <f aca="false">IF(B328="","",ROW()-4)</f>
        <v/>
      </c>
      <c r="B328" s="41"/>
      <c r="C328" s="42"/>
      <c r="D328" s="42"/>
      <c r="E328" s="42"/>
      <c r="F328" s="43"/>
      <c r="G328" s="40" t="str">
        <f aca="true">IF(OR(F328="",E328="Done",E328="Cancelled"),"",F328-TODAY())</f>
        <v/>
      </c>
      <c r="H328" s="44" t="str">
        <f aca="false">IF(G328="","",IF(G328&lt;0,"OVERDUE",IF(G328=0,"DUE TODAY",IF(G328&lt;=3,"DUE SOON",""))))</f>
        <v/>
      </c>
      <c r="I328" s="43"/>
      <c r="J328" s="43"/>
      <c r="K328" s="41"/>
      <c r="L328" s="41"/>
      <c r="M328" s="41"/>
    </row>
    <row r="329" customFormat="false" ht="18" hidden="false" customHeight="true" outlineLevel="0" collapsed="false">
      <c r="A329" s="40" t="str">
        <f aca="false">IF(B329="","",ROW()-4)</f>
        <v/>
      </c>
      <c r="B329" s="41"/>
      <c r="C329" s="42"/>
      <c r="D329" s="42"/>
      <c r="E329" s="42"/>
      <c r="F329" s="43"/>
      <c r="G329" s="40" t="str">
        <f aca="true">IF(OR(F329="",E329="Done",E329="Cancelled"),"",F329-TODAY())</f>
        <v/>
      </c>
      <c r="H329" s="44" t="str">
        <f aca="false">IF(G329="","",IF(G329&lt;0,"OVERDUE",IF(G329=0,"DUE TODAY",IF(G329&lt;=3,"DUE SOON",""))))</f>
        <v/>
      </c>
      <c r="I329" s="43"/>
      <c r="J329" s="43"/>
      <c r="K329" s="41"/>
      <c r="L329" s="41"/>
      <c r="M329" s="41"/>
    </row>
    <row r="330" customFormat="false" ht="18" hidden="false" customHeight="true" outlineLevel="0" collapsed="false">
      <c r="A330" s="40" t="str">
        <f aca="false">IF(B330="","",ROW()-4)</f>
        <v/>
      </c>
      <c r="B330" s="41"/>
      <c r="C330" s="42"/>
      <c r="D330" s="42"/>
      <c r="E330" s="42"/>
      <c r="F330" s="43"/>
      <c r="G330" s="40" t="str">
        <f aca="true">IF(OR(F330="",E330="Done",E330="Cancelled"),"",F330-TODAY())</f>
        <v/>
      </c>
      <c r="H330" s="44" t="str">
        <f aca="false">IF(G330="","",IF(G330&lt;0,"OVERDUE",IF(G330=0,"DUE TODAY",IF(G330&lt;=3,"DUE SOON",""))))</f>
        <v/>
      </c>
      <c r="I330" s="43"/>
      <c r="J330" s="43"/>
      <c r="K330" s="41"/>
      <c r="L330" s="41"/>
      <c r="M330" s="41"/>
    </row>
    <row r="331" customFormat="false" ht="18" hidden="false" customHeight="true" outlineLevel="0" collapsed="false">
      <c r="A331" s="40" t="str">
        <f aca="false">IF(B331="","",ROW()-4)</f>
        <v/>
      </c>
      <c r="B331" s="41"/>
      <c r="C331" s="42"/>
      <c r="D331" s="42"/>
      <c r="E331" s="42"/>
      <c r="F331" s="43"/>
      <c r="G331" s="40" t="str">
        <f aca="true">IF(OR(F331="",E331="Done",E331="Cancelled"),"",F331-TODAY())</f>
        <v/>
      </c>
      <c r="H331" s="44" t="str">
        <f aca="false">IF(G331="","",IF(G331&lt;0,"OVERDUE",IF(G331=0,"DUE TODAY",IF(G331&lt;=3,"DUE SOON",""))))</f>
        <v/>
      </c>
      <c r="I331" s="43"/>
      <c r="J331" s="43"/>
      <c r="K331" s="41"/>
      <c r="L331" s="41"/>
      <c r="M331" s="41"/>
    </row>
    <row r="332" customFormat="false" ht="18" hidden="false" customHeight="true" outlineLevel="0" collapsed="false">
      <c r="A332" s="40" t="str">
        <f aca="false">IF(B332="","",ROW()-4)</f>
        <v/>
      </c>
      <c r="B332" s="41"/>
      <c r="C332" s="42"/>
      <c r="D332" s="42"/>
      <c r="E332" s="42"/>
      <c r="F332" s="43"/>
      <c r="G332" s="40" t="str">
        <f aca="true">IF(OR(F332="",E332="Done",E332="Cancelled"),"",F332-TODAY())</f>
        <v/>
      </c>
      <c r="H332" s="44" t="str">
        <f aca="false">IF(G332="","",IF(G332&lt;0,"OVERDUE",IF(G332=0,"DUE TODAY",IF(G332&lt;=3,"DUE SOON",""))))</f>
        <v/>
      </c>
      <c r="I332" s="43"/>
      <c r="J332" s="43"/>
      <c r="K332" s="41"/>
      <c r="L332" s="41"/>
      <c r="M332" s="41"/>
    </row>
    <row r="333" customFormat="false" ht="18" hidden="false" customHeight="true" outlineLevel="0" collapsed="false">
      <c r="A333" s="40" t="str">
        <f aca="false">IF(B333="","",ROW()-4)</f>
        <v/>
      </c>
      <c r="B333" s="41"/>
      <c r="C333" s="42"/>
      <c r="D333" s="42"/>
      <c r="E333" s="42"/>
      <c r="F333" s="43"/>
      <c r="G333" s="40" t="str">
        <f aca="true">IF(OR(F333="",E333="Done",E333="Cancelled"),"",F333-TODAY())</f>
        <v/>
      </c>
      <c r="H333" s="44" t="str">
        <f aca="false">IF(G333="","",IF(G333&lt;0,"OVERDUE",IF(G333=0,"DUE TODAY",IF(G333&lt;=3,"DUE SOON",""))))</f>
        <v/>
      </c>
      <c r="I333" s="43"/>
      <c r="J333" s="43"/>
      <c r="K333" s="41"/>
      <c r="L333" s="41"/>
      <c r="M333" s="41"/>
    </row>
    <row r="334" customFormat="false" ht="18" hidden="false" customHeight="true" outlineLevel="0" collapsed="false">
      <c r="A334" s="40" t="str">
        <f aca="false">IF(B334="","",ROW()-4)</f>
        <v/>
      </c>
      <c r="B334" s="41"/>
      <c r="C334" s="42"/>
      <c r="D334" s="42"/>
      <c r="E334" s="42"/>
      <c r="F334" s="43"/>
      <c r="G334" s="40" t="str">
        <f aca="true">IF(OR(F334="",E334="Done",E334="Cancelled"),"",F334-TODAY())</f>
        <v/>
      </c>
      <c r="H334" s="44" t="str">
        <f aca="false">IF(G334="","",IF(G334&lt;0,"OVERDUE",IF(G334=0,"DUE TODAY",IF(G334&lt;=3,"DUE SOON",""))))</f>
        <v/>
      </c>
      <c r="I334" s="43"/>
      <c r="J334" s="43"/>
      <c r="K334" s="41"/>
      <c r="L334" s="41"/>
      <c r="M334" s="41"/>
    </row>
    <row r="335" customFormat="false" ht="18" hidden="false" customHeight="true" outlineLevel="0" collapsed="false">
      <c r="A335" s="40" t="str">
        <f aca="false">IF(B335="","",ROW()-4)</f>
        <v/>
      </c>
      <c r="B335" s="41"/>
      <c r="C335" s="42"/>
      <c r="D335" s="42"/>
      <c r="E335" s="42"/>
      <c r="F335" s="43"/>
      <c r="G335" s="40" t="str">
        <f aca="true">IF(OR(F335="",E335="Done",E335="Cancelled"),"",F335-TODAY())</f>
        <v/>
      </c>
      <c r="H335" s="44" t="str">
        <f aca="false">IF(G335="","",IF(G335&lt;0,"OVERDUE",IF(G335=0,"DUE TODAY",IF(G335&lt;=3,"DUE SOON",""))))</f>
        <v/>
      </c>
      <c r="I335" s="43"/>
      <c r="J335" s="43"/>
      <c r="K335" s="41"/>
      <c r="L335" s="41"/>
      <c r="M335" s="41"/>
    </row>
    <row r="336" customFormat="false" ht="18" hidden="false" customHeight="true" outlineLevel="0" collapsed="false">
      <c r="A336" s="40" t="str">
        <f aca="false">IF(B336="","",ROW()-4)</f>
        <v/>
      </c>
      <c r="B336" s="41"/>
      <c r="C336" s="42"/>
      <c r="D336" s="42"/>
      <c r="E336" s="42"/>
      <c r="F336" s="43"/>
      <c r="G336" s="40" t="str">
        <f aca="true">IF(OR(F336="",E336="Done",E336="Cancelled"),"",F336-TODAY())</f>
        <v/>
      </c>
      <c r="H336" s="44" t="str">
        <f aca="false">IF(G336="","",IF(G336&lt;0,"OVERDUE",IF(G336=0,"DUE TODAY",IF(G336&lt;=3,"DUE SOON",""))))</f>
        <v/>
      </c>
      <c r="I336" s="43"/>
      <c r="J336" s="43"/>
      <c r="K336" s="41"/>
      <c r="L336" s="41"/>
      <c r="M336" s="41"/>
    </row>
    <row r="337" customFormat="false" ht="18" hidden="false" customHeight="true" outlineLevel="0" collapsed="false">
      <c r="A337" s="40" t="str">
        <f aca="false">IF(B337="","",ROW()-4)</f>
        <v/>
      </c>
      <c r="B337" s="41"/>
      <c r="C337" s="42"/>
      <c r="D337" s="42"/>
      <c r="E337" s="42"/>
      <c r="F337" s="43"/>
      <c r="G337" s="40" t="str">
        <f aca="true">IF(OR(F337="",E337="Done",E337="Cancelled"),"",F337-TODAY())</f>
        <v/>
      </c>
      <c r="H337" s="44" t="str">
        <f aca="false">IF(G337="","",IF(G337&lt;0,"OVERDUE",IF(G337=0,"DUE TODAY",IF(G337&lt;=3,"DUE SOON",""))))</f>
        <v/>
      </c>
      <c r="I337" s="43"/>
      <c r="J337" s="43"/>
      <c r="K337" s="41"/>
      <c r="L337" s="41"/>
      <c r="M337" s="41"/>
    </row>
    <row r="338" customFormat="false" ht="18" hidden="false" customHeight="true" outlineLevel="0" collapsed="false">
      <c r="A338" s="40" t="str">
        <f aca="false">IF(B338="","",ROW()-4)</f>
        <v/>
      </c>
      <c r="B338" s="41"/>
      <c r="C338" s="42"/>
      <c r="D338" s="42"/>
      <c r="E338" s="42"/>
      <c r="F338" s="43"/>
      <c r="G338" s="40" t="str">
        <f aca="true">IF(OR(F338="",E338="Done",E338="Cancelled"),"",F338-TODAY())</f>
        <v/>
      </c>
      <c r="H338" s="44" t="str">
        <f aca="false">IF(G338="","",IF(G338&lt;0,"OVERDUE",IF(G338=0,"DUE TODAY",IF(G338&lt;=3,"DUE SOON",""))))</f>
        <v/>
      </c>
      <c r="I338" s="43"/>
      <c r="J338" s="43"/>
      <c r="K338" s="41"/>
      <c r="L338" s="41"/>
      <c r="M338" s="41"/>
    </row>
    <row r="339" customFormat="false" ht="18" hidden="false" customHeight="true" outlineLevel="0" collapsed="false">
      <c r="A339" s="40" t="str">
        <f aca="false">IF(B339="","",ROW()-4)</f>
        <v/>
      </c>
      <c r="B339" s="41"/>
      <c r="C339" s="42"/>
      <c r="D339" s="42"/>
      <c r="E339" s="42"/>
      <c r="F339" s="43"/>
      <c r="G339" s="40" t="str">
        <f aca="true">IF(OR(F339="",E339="Done",E339="Cancelled"),"",F339-TODAY())</f>
        <v/>
      </c>
      <c r="H339" s="44" t="str">
        <f aca="false">IF(G339="","",IF(G339&lt;0,"OVERDUE",IF(G339=0,"DUE TODAY",IF(G339&lt;=3,"DUE SOON",""))))</f>
        <v/>
      </c>
      <c r="I339" s="43"/>
      <c r="J339" s="43"/>
      <c r="K339" s="41"/>
      <c r="L339" s="41"/>
      <c r="M339" s="41"/>
    </row>
    <row r="340" customFormat="false" ht="18" hidden="false" customHeight="true" outlineLevel="0" collapsed="false">
      <c r="A340" s="40" t="str">
        <f aca="false">IF(B340="","",ROW()-4)</f>
        <v/>
      </c>
      <c r="B340" s="41"/>
      <c r="C340" s="42"/>
      <c r="D340" s="42"/>
      <c r="E340" s="42"/>
      <c r="F340" s="43"/>
      <c r="G340" s="40" t="str">
        <f aca="true">IF(OR(F340="",E340="Done",E340="Cancelled"),"",F340-TODAY())</f>
        <v/>
      </c>
      <c r="H340" s="44" t="str">
        <f aca="false">IF(G340="","",IF(G340&lt;0,"OVERDUE",IF(G340=0,"DUE TODAY",IF(G340&lt;=3,"DUE SOON",""))))</f>
        <v/>
      </c>
      <c r="I340" s="43"/>
      <c r="J340" s="43"/>
      <c r="K340" s="41"/>
      <c r="L340" s="41"/>
      <c r="M340" s="41"/>
    </row>
    <row r="341" customFormat="false" ht="18" hidden="false" customHeight="true" outlineLevel="0" collapsed="false">
      <c r="A341" s="40" t="str">
        <f aca="false">IF(B341="","",ROW()-4)</f>
        <v/>
      </c>
      <c r="B341" s="41"/>
      <c r="C341" s="42"/>
      <c r="D341" s="42"/>
      <c r="E341" s="42"/>
      <c r="F341" s="43"/>
      <c r="G341" s="40" t="str">
        <f aca="true">IF(OR(F341="",E341="Done",E341="Cancelled"),"",F341-TODAY())</f>
        <v/>
      </c>
      <c r="H341" s="44" t="str">
        <f aca="false">IF(G341="","",IF(G341&lt;0,"OVERDUE",IF(G341=0,"DUE TODAY",IF(G341&lt;=3,"DUE SOON",""))))</f>
        <v/>
      </c>
      <c r="I341" s="43"/>
      <c r="J341" s="43"/>
      <c r="K341" s="41"/>
      <c r="L341" s="41"/>
      <c r="M341" s="41"/>
    </row>
    <row r="342" customFormat="false" ht="18" hidden="false" customHeight="true" outlineLevel="0" collapsed="false">
      <c r="A342" s="40" t="str">
        <f aca="false">IF(B342="","",ROW()-4)</f>
        <v/>
      </c>
      <c r="B342" s="41"/>
      <c r="C342" s="42"/>
      <c r="D342" s="42"/>
      <c r="E342" s="42"/>
      <c r="F342" s="43"/>
      <c r="G342" s="40" t="str">
        <f aca="true">IF(OR(F342="",E342="Done",E342="Cancelled"),"",F342-TODAY())</f>
        <v/>
      </c>
      <c r="H342" s="44" t="str">
        <f aca="false">IF(G342="","",IF(G342&lt;0,"OVERDUE",IF(G342=0,"DUE TODAY",IF(G342&lt;=3,"DUE SOON",""))))</f>
        <v/>
      </c>
      <c r="I342" s="43"/>
      <c r="J342" s="43"/>
      <c r="K342" s="41"/>
      <c r="L342" s="41"/>
      <c r="M342" s="41"/>
    </row>
    <row r="343" customFormat="false" ht="18" hidden="false" customHeight="true" outlineLevel="0" collapsed="false">
      <c r="A343" s="40" t="str">
        <f aca="false">IF(B343="","",ROW()-4)</f>
        <v/>
      </c>
      <c r="B343" s="41"/>
      <c r="C343" s="42"/>
      <c r="D343" s="42"/>
      <c r="E343" s="42"/>
      <c r="F343" s="43"/>
      <c r="G343" s="40" t="str">
        <f aca="true">IF(OR(F343="",E343="Done",E343="Cancelled"),"",F343-TODAY())</f>
        <v/>
      </c>
      <c r="H343" s="44" t="str">
        <f aca="false">IF(G343="","",IF(G343&lt;0,"OVERDUE",IF(G343=0,"DUE TODAY",IF(G343&lt;=3,"DUE SOON",""))))</f>
        <v/>
      </c>
      <c r="I343" s="43"/>
      <c r="J343" s="43"/>
      <c r="K343" s="41"/>
      <c r="L343" s="41"/>
      <c r="M343" s="41"/>
    </row>
    <row r="344" customFormat="false" ht="18" hidden="false" customHeight="true" outlineLevel="0" collapsed="false">
      <c r="A344" s="40" t="str">
        <f aca="false">IF(B344="","",ROW()-4)</f>
        <v/>
      </c>
      <c r="B344" s="41"/>
      <c r="C344" s="42"/>
      <c r="D344" s="42"/>
      <c r="E344" s="42"/>
      <c r="F344" s="43"/>
      <c r="G344" s="40" t="str">
        <f aca="true">IF(OR(F344="",E344="Done",E344="Cancelled"),"",F344-TODAY())</f>
        <v/>
      </c>
      <c r="H344" s="44" t="str">
        <f aca="false">IF(G344="","",IF(G344&lt;0,"OVERDUE",IF(G344=0,"DUE TODAY",IF(G344&lt;=3,"DUE SOON",""))))</f>
        <v/>
      </c>
      <c r="I344" s="43"/>
      <c r="J344" s="43"/>
      <c r="K344" s="41"/>
      <c r="L344" s="41"/>
      <c r="M344" s="41"/>
    </row>
    <row r="345" customFormat="false" ht="18" hidden="false" customHeight="true" outlineLevel="0" collapsed="false">
      <c r="A345" s="40" t="str">
        <f aca="false">IF(B345="","",ROW()-4)</f>
        <v/>
      </c>
      <c r="B345" s="41"/>
      <c r="C345" s="42"/>
      <c r="D345" s="42"/>
      <c r="E345" s="42"/>
      <c r="F345" s="43"/>
      <c r="G345" s="40" t="str">
        <f aca="true">IF(OR(F345="",E345="Done",E345="Cancelled"),"",F345-TODAY())</f>
        <v/>
      </c>
      <c r="H345" s="44" t="str">
        <f aca="false">IF(G345="","",IF(G345&lt;0,"OVERDUE",IF(G345=0,"DUE TODAY",IF(G345&lt;=3,"DUE SOON",""))))</f>
        <v/>
      </c>
      <c r="I345" s="43"/>
      <c r="J345" s="43"/>
      <c r="K345" s="41"/>
      <c r="L345" s="41"/>
      <c r="M345" s="41"/>
    </row>
    <row r="346" customFormat="false" ht="18" hidden="false" customHeight="true" outlineLevel="0" collapsed="false">
      <c r="A346" s="40" t="str">
        <f aca="false">IF(B346="","",ROW()-4)</f>
        <v/>
      </c>
      <c r="B346" s="41"/>
      <c r="C346" s="42"/>
      <c r="D346" s="42"/>
      <c r="E346" s="42"/>
      <c r="F346" s="43"/>
      <c r="G346" s="40" t="str">
        <f aca="true">IF(OR(F346="",E346="Done",E346="Cancelled"),"",F346-TODAY())</f>
        <v/>
      </c>
      <c r="H346" s="44" t="str">
        <f aca="false">IF(G346="","",IF(G346&lt;0,"OVERDUE",IF(G346=0,"DUE TODAY",IF(G346&lt;=3,"DUE SOON",""))))</f>
        <v/>
      </c>
      <c r="I346" s="43"/>
      <c r="J346" s="43"/>
      <c r="K346" s="41"/>
      <c r="L346" s="41"/>
      <c r="M346" s="41"/>
    </row>
    <row r="347" customFormat="false" ht="18" hidden="false" customHeight="true" outlineLevel="0" collapsed="false">
      <c r="A347" s="40" t="str">
        <f aca="false">IF(B347="","",ROW()-4)</f>
        <v/>
      </c>
      <c r="B347" s="41"/>
      <c r="C347" s="42"/>
      <c r="D347" s="42"/>
      <c r="E347" s="42"/>
      <c r="F347" s="43"/>
      <c r="G347" s="40" t="str">
        <f aca="true">IF(OR(F347="",E347="Done",E347="Cancelled"),"",F347-TODAY())</f>
        <v/>
      </c>
      <c r="H347" s="44" t="str">
        <f aca="false">IF(G347="","",IF(G347&lt;0,"OVERDUE",IF(G347=0,"DUE TODAY",IF(G347&lt;=3,"DUE SOON",""))))</f>
        <v/>
      </c>
      <c r="I347" s="43"/>
      <c r="J347" s="43"/>
      <c r="K347" s="41"/>
      <c r="L347" s="41"/>
      <c r="M347" s="41"/>
    </row>
    <row r="348" customFormat="false" ht="18" hidden="false" customHeight="true" outlineLevel="0" collapsed="false">
      <c r="A348" s="40" t="str">
        <f aca="false">IF(B348="","",ROW()-4)</f>
        <v/>
      </c>
      <c r="B348" s="41"/>
      <c r="C348" s="42"/>
      <c r="D348" s="42"/>
      <c r="E348" s="42"/>
      <c r="F348" s="43"/>
      <c r="G348" s="40" t="str">
        <f aca="true">IF(OR(F348="",E348="Done",E348="Cancelled"),"",F348-TODAY())</f>
        <v/>
      </c>
      <c r="H348" s="44" t="str">
        <f aca="false">IF(G348="","",IF(G348&lt;0,"OVERDUE",IF(G348=0,"DUE TODAY",IF(G348&lt;=3,"DUE SOON",""))))</f>
        <v/>
      </c>
      <c r="I348" s="43"/>
      <c r="J348" s="43"/>
      <c r="K348" s="41"/>
      <c r="L348" s="41"/>
      <c r="M348" s="41"/>
    </row>
    <row r="349" customFormat="false" ht="18" hidden="false" customHeight="true" outlineLevel="0" collapsed="false">
      <c r="A349" s="40" t="str">
        <f aca="false">IF(B349="","",ROW()-4)</f>
        <v/>
      </c>
      <c r="B349" s="41"/>
      <c r="C349" s="42"/>
      <c r="D349" s="42"/>
      <c r="E349" s="42"/>
      <c r="F349" s="43"/>
      <c r="G349" s="40" t="str">
        <f aca="true">IF(OR(F349="",E349="Done",E349="Cancelled"),"",F349-TODAY())</f>
        <v/>
      </c>
      <c r="H349" s="44" t="str">
        <f aca="false">IF(G349="","",IF(G349&lt;0,"OVERDUE",IF(G349=0,"DUE TODAY",IF(G349&lt;=3,"DUE SOON",""))))</f>
        <v/>
      </c>
      <c r="I349" s="43"/>
      <c r="J349" s="43"/>
      <c r="K349" s="41"/>
      <c r="L349" s="41"/>
      <c r="M349" s="41"/>
    </row>
    <row r="350" customFormat="false" ht="18" hidden="false" customHeight="true" outlineLevel="0" collapsed="false">
      <c r="A350" s="40" t="str">
        <f aca="false">IF(B350="","",ROW()-4)</f>
        <v/>
      </c>
      <c r="B350" s="41"/>
      <c r="C350" s="42"/>
      <c r="D350" s="42"/>
      <c r="E350" s="42"/>
      <c r="F350" s="43"/>
      <c r="G350" s="40" t="str">
        <f aca="true">IF(OR(F350="",E350="Done",E350="Cancelled"),"",F350-TODAY())</f>
        <v/>
      </c>
      <c r="H350" s="44" t="str">
        <f aca="false">IF(G350="","",IF(G350&lt;0,"OVERDUE",IF(G350=0,"DUE TODAY",IF(G350&lt;=3,"DUE SOON",""))))</f>
        <v/>
      </c>
      <c r="I350" s="43"/>
      <c r="J350" s="43"/>
      <c r="K350" s="41"/>
      <c r="L350" s="41"/>
      <c r="M350" s="41"/>
    </row>
    <row r="351" customFormat="false" ht="18" hidden="false" customHeight="true" outlineLevel="0" collapsed="false">
      <c r="A351" s="40" t="str">
        <f aca="false">IF(B351="","",ROW()-4)</f>
        <v/>
      </c>
      <c r="B351" s="41"/>
      <c r="C351" s="42"/>
      <c r="D351" s="42"/>
      <c r="E351" s="42"/>
      <c r="F351" s="43"/>
      <c r="G351" s="40" t="str">
        <f aca="true">IF(OR(F351="",E351="Done",E351="Cancelled"),"",F351-TODAY())</f>
        <v/>
      </c>
      <c r="H351" s="44" t="str">
        <f aca="false">IF(G351="","",IF(G351&lt;0,"OVERDUE",IF(G351=0,"DUE TODAY",IF(G351&lt;=3,"DUE SOON",""))))</f>
        <v/>
      </c>
      <c r="I351" s="43"/>
      <c r="J351" s="43"/>
      <c r="K351" s="41"/>
      <c r="L351" s="41"/>
      <c r="M351" s="41"/>
    </row>
    <row r="352" customFormat="false" ht="18" hidden="false" customHeight="true" outlineLevel="0" collapsed="false">
      <c r="A352" s="40" t="str">
        <f aca="false">IF(B352="","",ROW()-4)</f>
        <v/>
      </c>
      <c r="B352" s="41"/>
      <c r="C352" s="42"/>
      <c r="D352" s="42"/>
      <c r="E352" s="42"/>
      <c r="F352" s="43"/>
      <c r="G352" s="40" t="str">
        <f aca="true">IF(OR(F352="",E352="Done",E352="Cancelled"),"",F352-TODAY())</f>
        <v/>
      </c>
      <c r="H352" s="44" t="str">
        <f aca="false">IF(G352="","",IF(G352&lt;0,"OVERDUE",IF(G352=0,"DUE TODAY",IF(G352&lt;=3,"DUE SOON",""))))</f>
        <v/>
      </c>
      <c r="I352" s="43"/>
      <c r="J352" s="43"/>
      <c r="K352" s="41"/>
      <c r="L352" s="41"/>
      <c r="M352" s="41"/>
    </row>
    <row r="353" customFormat="false" ht="18" hidden="false" customHeight="true" outlineLevel="0" collapsed="false">
      <c r="A353" s="40" t="str">
        <f aca="false">IF(B353="","",ROW()-4)</f>
        <v/>
      </c>
      <c r="B353" s="41"/>
      <c r="C353" s="42"/>
      <c r="D353" s="42"/>
      <c r="E353" s="42"/>
      <c r="F353" s="43"/>
      <c r="G353" s="40" t="str">
        <f aca="true">IF(OR(F353="",E353="Done",E353="Cancelled"),"",F353-TODAY())</f>
        <v/>
      </c>
      <c r="H353" s="44" t="str">
        <f aca="false">IF(G353="","",IF(G353&lt;0,"OVERDUE",IF(G353=0,"DUE TODAY",IF(G353&lt;=3,"DUE SOON",""))))</f>
        <v/>
      </c>
      <c r="I353" s="43"/>
      <c r="J353" s="43"/>
      <c r="K353" s="41"/>
      <c r="L353" s="41"/>
      <c r="M353" s="41"/>
    </row>
    <row r="354" customFormat="false" ht="18" hidden="false" customHeight="true" outlineLevel="0" collapsed="false">
      <c r="A354" s="40" t="str">
        <f aca="false">IF(B354="","",ROW()-4)</f>
        <v/>
      </c>
      <c r="B354" s="41"/>
      <c r="C354" s="42"/>
      <c r="D354" s="42"/>
      <c r="E354" s="42"/>
      <c r="F354" s="43"/>
      <c r="G354" s="40" t="str">
        <f aca="true">IF(OR(F354="",E354="Done",E354="Cancelled"),"",F354-TODAY())</f>
        <v/>
      </c>
      <c r="H354" s="44" t="str">
        <f aca="false">IF(G354="","",IF(G354&lt;0,"OVERDUE",IF(G354=0,"DUE TODAY",IF(G354&lt;=3,"DUE SOON",""))))</f>
        <v/>
      </c>
      <c r="I354" s="43"/>
      <c r="J354" s="43"/>
      <c r="K354" s="41"/>
      <c r="L354" s="41"/>
      <c r="M354" s="41"/>
    </row>
    <row r="355" customFormat="false" ht="18" hidden="false" customHeight="true" outlineLevel="0" collapsed="false">
      <c r="A355" s="40" t="str">
        <f aca="false">IF(B355="","",ROW()-4)</f>
        <v/>
      </c>
      <c r="B355" s="41"/>
      <c r="C355" s="42"/>
      <c r="D355" s="42"/>
      <c r="E355" s="42"/>
      <c r="F355" s="43"/>
      <c r="G355" s="40" t="str">
        <f aca="true">IF(OR(F355="",E355="Done",E355="Cancelled"),"",F355-TODAY())</f>
        <v/>
      </c>
      <c r="H355" s="44" t="str">
        <f aca="false">IF(G355="","",IF(G355&lt;0,"OVERDUE",IF(G355=0,"DUE TODAY",IF(G355&lt;=3,"DUE SOON",""))))</f>
        <v/>
      </c>
      <c r="I355" s="43"/>
      <c r="J355" s="43"/>
      <c r="K355" s="41"/>
      <c r="L355" s="41"/>
      <c r="M355" s="41"/>
    </row>
    <row r="356" customFormat="false" ht="18" hidden="false" customHeight="true" outlineLevel="0" collapsed="false">
      <c r="A356" s="40" t="str">
        <f aca="false">IF(B356="","",ROW()-4)</f>
        <v/>
      </c>
      <c r="B356" s="41"/>
      <c r="C356" s="42"/>
      <c r="D356" s="42"/>
      <c r="E356" s="42"/>
      <c r="F356" s="43"/>
      <c r="G356" s="40" t="str">
        <f aca="true">IF(OR(F356="",E356="Done",E356="Cancelled"),"",F356-TODAY())</f>
        <v/>
      </c>
      <c r="H356" s="44" t="str">
        <f aca="false">IF(G356="","",IF(G356&lt;0,"OVERDUE",IF(G356=0,"DUE TODAY",IF(G356&lt;=3,"DUE SOON",""))))</f>
        <v/>
      </c>
      <c r="I356" s="43"/>
      <c r="J356" s="43"/>
      <c r="K356" s="41"/>
      <c r="L356" s="41"/>
      <c r="M356" s="41"/>
    </row>
    <row r="357" customFormat="false" ht="18" hidden="false" customHeight="true" outlineLevel="0" collapsed="false">
      <c r="A357" s="40" t="str">
        <f aca="false">IF(B357="","",ROW()-4)</f>
        <v/>
      </c>
      <c r="B357" s="41"/>
      <c r="C357" s="42"/>
      <c r="D357" s="42"/>
      <c r="E357" s="42"/>
      <c r="F357" s="43"/>
      <c r="G357" s="40" t="str">
        <f aca="true">IF(OR(F357="",E357="Done",E357="Cancelled"),"",F357-TODAY())</f>
        <v/>
      </c>
      <c r="H357" s="44" t="str">
        <f aca="false">IF(G357="","",IF(G357&lt;0,"OVERDUE",IF(G357=0,"DUE TODAY",IF(G357&lt;=3,"DUE SOON",""))))</f>
        <v/>
      </c>
      <c r="I357" s="43"/>
      <c r="J357" s="43"/>
      <c r="K357" s="41"/>
      <c r="L357" s="41"/>
      <c r="M357" s="41"/>
    </row>
    <row r="358" customFormat="false" ht="18" hidden="false" customHeight="true" outlineLevel="0" collapsed="false">
      <c r="A358" s="40" t="str">
        <f aca="false">IF(B358="","",ROW()-4)</f>
        <v/>
      </c>
      <c r="B358" s="41"/>
      <c r="C358" s="42"/>
      <c r="D358" s="42"/>
      <c r="E358" s="42"/>
      <c r="F358" s="43"/>
      <c r="G358" s="40" t="str">
        <f aca="true">IF(OR(F358="",E358="Done",E358="Cancelled"),"",F358-TODAY())</f>
        <v/>
      </c>
      <c r="H358" s="44" t="str">
        <f aca="false">IF(G358="","",IF(G358&lt;0,"OVERDUE",IF(G358=0,"DUE TODAY",IF(G358&lt;=3,"DUE SOON",""))))</f>
        <v/>
      </c>
      <c r="I358" s="43"/>
      <c r="J358" s="43"/>
      <c r="K358" s="41"/>
      <c r="L358" s="41"/>
      <c r="M358" s="41"/>
    </row>
    <row r="359" customFormat="false" ht="18" hidden="false" customHeight="true" outlineLevel="0" collapsed="false">
      <c r="A359" s="40" t="str">
        <f aca="false">IF(B359="","",ROW()-4)</f>
        <v/>
      </c>
      <c r="B359" s="41"/>
      <c r="C359" s="42"/>
      <c r="D359" s="42"/>
      <c r="E359" s="42"/>
      <c r="F359" s="43"/>
      <c r="G359" s="40" t="str">
        <f aca="true">IF(OR(F359="",E359="Done",E359="Cancelled"),"",F359-TODAY())</f>
        <v/>
      </c>
      <c r="H359" s="44" t="str">
        <f aca="false">IF(G359="","",IF(G359&lt;0,"OVERDUE",IF(G359=0,"DUE TODAY",IF(G359&lt;=3,"DUE SOON",""))))</f>
        <v/>
      </c>
      <c r="I359" s="43"/>
      <c r="J359" s="43"/>
      <c r="K359" s="41"/>
      <c r="L359" s="41"/>
      <c r="M359" s="41"/>
    </row>
    <row r="360" customFormat="false" ht="18" hidden="false" customHeight="true" outlineLevel="0" collapsed="false">
      <c r="A360" s="40" t="str">
        <f aca="false">IF(B360="","",ROW()-4)</f>
        <v/>
      </c>
      <c r="B360" s="41"/>
      <c r="C360" s="42"/>
      <c r="D360" s="42"/>
      <c r="E360" s="42"/>
      <c r="F360" s="43"/>
      <c r="G360" s="40" t="str">
        <f aca="true">IF(OR(F360="",E360="Done",E360="Cancelled"),"",F360-TODAY())</f>
        <v/>
      </c>
      <c r="H360" s="44" t="str">
        <f aca="false">IF(G360="","",IF(G360&lt;0,"OVERDUE",IF(G360=0,"DUE TODAY",IF(G360&lt;=3,"DUE SOON",""))))</f>
        <v/>
      </c>
      <c r="I360" s="43"/>
      <c r="J360" s="43"/>
      <c r="K360" s="41"/>
      <c r="L360" s="41"/>
      <c r="M360" s="41"/>
    </row>
    <row r="361" customFormat="false" ht="18" hidden="false" customHeight="true" outlineLevel="0" collapsed="false">
      <c r="A361" s="40" t="str">
        <f aca="false">IF(B361="","",ROW()-4)</f>
        <v/>
      </c>
      <c r="B361" s="41"/>
      <c r="C361" s="42"/>
      <c r="D361" s="42"/>
      <c r="E361" s="42"/>
      <c r="F361" s="43"/>
      <c r="G361" s="40" t="str">
        <f aca="true">IF(OR(F361="",E361="Done",E361="Cancelled"),"",F361-TODAY())</f>
        <v/>
      </c>
      <c r="H361" s="44" t="str">
        <f aca="false">IF(G361="","",IF(G361&lt;0,"OVERDUE",IF(G361=0,"DUE TODAY",IF(G361&lt;=3,"DUE SOON",""))))</f>
        <v/>
      </c>
      <c r="I361" s="43"/>
      <c r="J361" s="43"/>
      <c r="K361" s="41"/>
      <c r="L361" s="41"/>
      <c r="M361" s="41"/>
    </row>
    <row r="362" customFormat="false" ht="18" hidden="false" customHeight="true" outlineLevel="0" collapsed="false">
      <c r="A362" s="40" t="str">
        <f aca="false">IF(B362="","",ROW()-4)</f>
        <v/>
      </c>
      <c r="B362" s="41"/>
      <c r="C362" s="42"/>
      <c r="D362" s="42"/>
      <c r="E362" s="42"/>
      <c r="F362" s="43"/>
      <c r="G362" s="40" t="str">
        <f aca="true">IF(OR(F362="",E362="Done",E362="Cancelled"),"",F362-TODAY())</f>
        <v/>
      </c>
      <c r="H362" s="44" t="str">
        <f aca="false">IF(G362="","",IF(G362&lt;0,"OVERDUE",IF(G362=0,"DUE TODAY",IF(G362&lt;=3,"DUE SOON",""))))</f>
        <v/>
      </c>
      <c r="I362" s="43"/>
      <c r="J362" s="43"/>
      <c r="K362" s="41"/>
      <c r="L362" s="41"/>
      <c r="M362" s="41"/>
    </row>
    <row r="363" customFormat="false" ht="18" hidden="false" customHeight="true" outlineLevel="0" collapsed="false">
      <c r="A363" s="40" t="str">
        <f aca="false">IF(B363="","",ROW()-4)</f>
        <v/>
      </c>
      <c r="B363" s="41"/>
      <c r="C363" s="42"/>
      <c r="D363" s="42"/>
      <c r="E363" s="42"/>
      <c r="F363" s="43"/>
      <c r="G363" s="40" t="str">
        <f aca="true">IF(OR(F363="",E363="Done",E363="Cancelled"),"",F363-TODAY())</f>
        <v/>
      </c>
      <c r="H363" s="44" t="str">
        <f aca="false">IF(G363="","",IF(G363&lt;0,"OVERDUE",IF(G363=0,"DUE TODAY",IF(G363&lt;=3,"DUE SOON",""))))</f>
        <v/>
      </c>
      <c r="I363" s="43"/>
      <c r="J363" s="43"/>
      <c r="K363" s="41"/>
      <c r="L363" s="41"/>
      <c r="M363" s="41"/>
    </row>
    <row r="364" customFormat="false" ht="18" hidden="false" customHeight="true" outlineLevel="0" collapsed="false">
      <c r="A364" s="40" t="str">
        <f aca="false">IF(B364="","",ROW()-4)</f>
        <v/>
      </c>
      <c r="B364" s="41"/>
      <c r="C364" s="42"/>
      <c r="D364" s="42"/>
      <c r="E364" s="42"/>
      <c r="F364" s="43"/>
      <c r="G364" s="40" t="str">
        <f aca="true">IF(OR(F364="",E364="Done",E364="Cancelled"),"",F364-TODAY())</f>
        <v/>
      </c>
      <c r="H364" s="44" t="str">
        <f aca="false">IF(G364="","",IF(G364&lt;0,"OVERDUE",IF(G364=0,"DUE TODAY",IF(G364&lt;=3,"DUE SOON",""))))</f>
        <v/>
      </c>
      <c r="I364" s="43"/>
      <c r="J364" s="43"/>
      <c r="K364" s="41"/>
      <c r="L364" s="41"/>
      <c r="M364" s="41"/>
    </row>
    <row r="365" customFormat="false" ht="18" hidden="false" customHeight="true" outlineLevel="0" collapsed="false">
      <c r="A365" s="40" t="str">
        <f aca="false">IF(B365="","",ROW()-4)</f>
        <v/>
      </c>
      <c r="B365" s="41"/>
      <c r="C365" s="42"/>
      <c r="D365" s="42"/>
      <c r="E365" s="42"/>
      <c r="F365" s="43"/>
      <c r="G365" s="40" t="str">
        <f aca="true">IF(OR(F365="",E365="Done",E365="Cancelled"),"",F365-TODAY())</f>
        <v/>
      </c>
      <c r="H365" s="44" t="str">
        <f aca="false">IF(G365="","",IF(G365&lt;0,"OVERDUE",IF(G365=0,"DUE TODAY",IF(G365&lt;=3,"DUE SOON",""))))</f>
        <v/>
      </c>
      <c r="I365" s="43"/>
      <c r="J365" s="43"/>
      <c r="K365" s="41"/>
      <c r="L365" s="41"/>
      <c r="M365" s="41"/>
    </row>
    <row r="366" customFormat="false" ht="18" hidden="false" customHeight="true" outlineLevel="0" collapsed="false">
      <c r="A366" s="40" t="str">
        <f aca="false">IF(B366="","",ROW()-4)</f>
        <v/>
      </c>
      <c r="B366" s="41"/>
      <c r="C366" s="42"/>
      <c r="D366" s="42"/>
      <c r="E366" s="42"/>
      <c r="F366" s="43"/>
      <c r="G366" s="40" t="str">
        <f aca="true">IF(OR(F366="",E366="Done",E366="Cancelled"),"",F366-TODAY())</f>
        <v/>
      </c>
      <c r="H366" s="44" t="str">
        <f aca="false">IF(G366="","",IF(G366&lt;0,"OVERDUE",IF(G366=0,"DUE TODAY",IF(G366&lt;=3,"DUE SOON",""))))</f>
        <v/>
      </c>
      <c r="I366" s="43"/>
      <c r="J366" s="43"/>
      <c r="K366" s="41"/>
      <c r="L366" s="41"/>
      <c r="M366" s="41"/>
    </row>
    <row r="367" customFormat="false" ht="18" hidden="false" customHeight="true" outlineLevel="0" collapsed="false">
      <c r="A367" s="40" t="str">
        <f aca="false">IF(B367="","",ROW()-4)</f>
        <v/>
      </c>
      <c r="B367" s="41"/>
      <c r="C367" s="42"/>
      <c r="D367" s="42"/>
      <c r="E367" s="42"/>
      <c r="F367" s="43"/>
      <c r="G367" s="40" t="str">
        <f aca="true">IF(OR(F367="",E367="Done",E367="Cancelled"),"",F367-TODAY())</f>
        <v/>
      </c>
      <c r="H367" s="44" t="str">
        <f aca="false">IF(G367="","",IF(G367&lt;0,"OVERDUE",IF(G367=0,"DUE TODAY",IF(G367&lt;=3,"DUE SOON",""))))</f>
        <v/>
      </c>
      <c r="I367" s="43"/>
      <c r="J367" s="43"/>
      <c r="K367" s="41"/>
      <c r="L367" s="41"/>
      <c r="M367" s="41"/>
    </row>
    <row r="368" customFormat="false" ht="18" hidden="false" customHeight="true" outlineLevel="0" collapsed="false">
      <c r="A368" s="40" t="str">
        <f aca="false">IF(B368="","",ROW()-4)</f>
        <v/>
      </c>
      <c r="B368" s="41"/>
      <c r="C368" s="42"/>
      <c r="D368" s="42"/>
      <c r="E368" s="42"/>
      <c r="F368" s="43"/>
      <c r="G368" s="40" t="str">
        <f aca="true">IF(OR(F368="",E368="Done",E368="Cancelled"),"",F368-TODAY())</f>
        <v/>
      </c>
      <c r="H368" s="44" t="str">
        <f aca="false">IF(G368="","",IF(G368&lt;0,"OVERDUE",IF(G368=0,"DUE TODAY",IF(G368&lt;=3,"DUE SOON",""))))</f>
        <v/>
      </c>
      <c r="I368" s="43"/>
      <c r="J368" s="43"/>
      <c r="K368" s="41"/>
      <c r="L368" s="41"/>
      <c r="M368" s="41"/>
    </row>
    <row r="369" customFormat="false" ht="18" hidden="false" customHeight="true" outlineLevel="0" collapsed="false">
      <c r="A369" s="40" t="str">
        <f aca="false">IF(B369="","",ROW()-4)</f>
        <v/>
      </c>
      <c r="B369" s="41"/>
      <c r="C369" s="42"/>
      <c r="D369" s="42"/>
      <c r="E369" s="42"/>
      <c r="F369" s="43"/>
      <c r="G369" s="40" t="str">
        <f aca="true">IF(OR(F369="",E369="Done",E369="Cancelled"),"",F369-TODAY())</f>
        <v/>
      </c>
      <c r="H369" s="44" t="str">
        <f aca="false">IF(G369="","",IF(G369&lt;0,"OVERDUE",IF(G369=0,"DUE TODAY",IF(G369&lt;=3,"DUE SOON",""))))</f>
        <v/>
      </c>
      <c r="I369" s="43"/>
      <c r="J369" s="43"/>
      <c r="K369" s="41"/>
      <c r="L369" s="41"/>
      <c r="M369" s="41"/>
    </row>
    <row r="370" customFormat="false" ht="18" hidden="false" customHeight="true" outlineLevel="0" collapsed="false">
      <c r="A370" s="40" t="str">
        <f aca="false">IF(B370="","",ROW()-4)</f>
        <v/>
      </c>
      <c r="B370" s="41"/>
      <c r="C370" s="42"/>
      <c r="D370" s="42"/>
      <c r="E370" s="42"/>
      <c r="F370" s="43"/>
      <c r="G370" s="40" t="str">
        <f aca="true">IF(OR(F370="",E370="Done",E370="Cancelled"),"",F370-TODAY())</f>
        <v/>
      </c>
      <c r="H370" s="44" t="str">
        <f aca="false">IF(G370="","",IF(G370&lt;0,"OVERDUE",IF(G370=0,"DUE TODAY",IF(G370&lt;=3,"DUE SOON",""))))</f>
        <v/>
      </c>
      <c r="I370" s="43"/>
      <c r="J370" s="43"/>
      <c r="K370" s="41"/>
      <c r="L370" s="41"/>
      <c r="M370" s="41"/>
    </row>
    <row r="371" customFormat="false" ht="18" hidden="false" customHeight="true" outlineLevel="0" collapsed="false">
      <c r="A371" s="40" t="str">
        <f aca="false">IF(B371="","",ROW()-4)</f>
        <v/>
      </c>
      <c r="B371" s="41"/>
      <c r="C371" s="42"/>
      <c r="D371" s="42"/>
      <c r="E371" s="42"/>
      <c r="F371" s="43"/>
      <c r="G371" s="40" t="str">
        <f aca="true">IF(OR(F371="",E371="Done",E371="Cancelled"),"",F371-TODAY())</f>
        <v/>
      </c>
      <c r="H371" s="44" t="str">
        <f aca="false">IF(G371="","",IF(G371&lt;0,"OVERDUE",IF(G371=0,"DUE TODAY",IF(G371&lt;=3,"DUE SOON",""))))</f>
        <v/>
      </c>
      <c r="I371" s="43"/>
      <c r="J371" s="43"/>
      <c r="K371" s="41"/>
      <c r="L371" s="41"/>
      <c r="M371" s="41"/>
    </row>
    <row r="372" customFormat="false" ht="18" hidden="false" customHeight="true" outlineLevel="0" collapsed="false">
      <c r="A372" s="40" t="str">
        <f aca="false">IF(B372="","",ROW()-4)</f>
        <v/>
      </c>
      <c r="B372" s="41"/>
      <c r="C372" s="42"/>
      <c r="D372" s="42"/>
      <c r="E372" s="42"/>
      <c r="F372" s="43"/>
      <c r="G372" s="40" t="str">
        <f aca="true">IF(OR(F372="",E372="Done",E372="Cancelled"),"",F372-TODAY())</f>
        <v/>
      </c>
      <c r="H372" s="44" t="str">
        <f aca="false">IF(G372="","",IF(G372&lt;0,"OVERDUE",IF(G372=0,"DUE TODAY",IF(G372&lt;=3,"DUE SOON",""))))</f>
        <v/>
      </c>
      <c r="I372" s="43"/>
      <c r="J372" s="43"/>
      <c r="K372" s="41"/>
      <c r="L372" s="41"/>
      <c r="M372" s="41"/>
    </row>
    <row r="373" customFormat="false" ht="18" hidden="false" customHeight="true" outlineLevel="0" collapsed="false">
      <c r="A373" s="40" t="str">
        <f aca="false">IF(B373="","",ROW()-4)</f>
        <v/>
      </c>
      <c r="B373" s="41"/>
      <c r="C373" s="42"/>
      <c r="D373" s="42"/>
      <c r="E373" s="42"/>
      <c r="F373" s="43"/>
      <c r="G373" s="40" t="str">
        <f aca="true">IF(OR(F373="",E373="Done",E373="Cancelled"),"",F373-TODAY())</f>
        <v/>
      </c>
      <c r="H373" s="44" t="str">
        <f aca="false">IF(G373="","",IF(G373&lt;0,"OVERDUE",IF(G373=0,"DUE TODAY",IF(G373&lt;=3,"DUE SOON",""))))</f>
        <v/>
      </c>
      <c r="I373" s="43"/>
      <c r="J373" s="43"/>
      <c r="K373" s="41"/>
      <c r="L373" s="41"/>
      <c r="M373" s="41"/>
    </row>
    <row r="374" customFormat="false" ht="18" hidden="false" customHeight="true" outlineLevel="0" collapsed="false">
      <c r="A374" s="40" t="str">
        <f aca="false">IF(B374="","",ROW()-4)</f>
        <v/>
      </c>
      <c r="B374" s="41"/>
      <c r="C374" s="42"/>
      <c r="D374" s="42"/>
      <c r="E374" s="42"/>
      <c r="F374" s="43"/>
      <c r="G374" s="40" t="str">
        <f aca="true">IF(OR(F374="",E374="Done",E374="Cancelled"),"",F374-TODAY())</f>
        <v/>
      </c>
      <c r="H374" s="44" t="str">
        <f aca="false">IF(G374="","",IF(G374&lt;0,"OVERDUE",IF(G374=0,"DUE TODAY",IF(G374&lt;=3,"DUE SOON",""))))</f>
        <v/>
      </c>
      <c r="I374" s="43"/>
      <c r="J374" s="43"/>
      <c r="K374" s="41"/>
      <c r="L374" s="41"/>
      <c r="M374" s="41"/>
    </row>
    <row r="375" customFormat="false" ht="18" hidden="false" customHeight="true" outlineLevel="0" collapsed="false">
      <c r="A375" s="40" t="str">
        <f aca="false">IF(B375="","",ROW()-4)</f>
        <v/>
      </c>
      <c r="B375" s="41"/>
      <c r="C375" s="42"/>
      <c r="D375" s="42"/>
      <c r="E375" s="42"/>
      <c r="F375" s="43"/>
      <c r="G375" s="40" t="str">
        <f aca="true">IF(OR(F375="",E375="Done",E375="Cancelled"),"",F375-TODAY())</f>
        <v/>
      </c>
      <c r="H375" s="44" t="str">
        <f aca="false">IF(G375="","",IF(G375&lt;0,"OVERDUE",IF(G375=0,"DUE TODAY",IF(G375&lt;=3,"DUE SOON",""))))</f>
        <v/>
      </c>
      <c r="I375" s="43"/>
      <c r="J375" s="43"/>
      <c r="K375" s="41"/>
      <c r="L375" s="41"/>
      <c r="M375" s="41"/>
    </row>
    <row r="376" customFormat="false" ht="18" hidden="false" customHeight="true" outlineLevel="0" collapsed="false">
      <c r="A376" s="40" t="str">
        <f aca="false">IF(B376="","",ROW()-4)</f>
        <v/>
      </c>
      <c r="B376" s="41"/>
      <c r="C376" s="42"/>
      <c r="D376" s="42"/>
      <c r="E376" s="42"/>
      <c r="F376" s="43"/>
      <c r="G376" s="40" t="str">
        <f aca="true">IF(OR(F376="",E376="Done",E376="Cancelled"),"",F376-TODAY())</f>
        <v/>
      </c>
      <c r="H376" s="44" t="str">
        <f aca="false">IF(G376="","",IF(G376&lt;0,"OVERDUE",IF(G376=0,"DUE TODAY",IF(G376&lt;=3,"DUE SOON",""))))</f>
        <v/>
      </c>
      <c r="I376" s="43"/>
      <c r="J376" s="43"/>
      <c r="K376" s="41"/>
      <c r="L376" s="41"/>
      <c r="M376" s="41"/>
    </row>
    <row r="377" customFormat="false" ht="18" hidden="false" customHeight="true" outlineLevel="0" collapsed="false">
      <c r="A377" s="40" t="str">
        <f aca="false">IF(B377="","",ROW()-4)</f>
        <v/>
      </c>
      <c r="B377" s="41"/>
      <c r="C377" s="42"/>
      <c r="D377" s="42"/>
      <c r="E377" s="42"/>
      <c r="F377" s="43"/>
      <c r="G377" s="40" t="str">
        <f aca="true">IF(OR(F377="",E377="Done",E377="Cancelled"),"",F377-TODAY())</f>
        <v/>
      </c>
      <c r="H377" s="44" t="str">
        <f aca="false">IF(G377="","",IF(G377&lt;0,"OVERDUE",IF(G377=0,"DUE TODAY",IF(G377&lt;=3,"DUE SOON",""))))</f>
        <v/>
      </c>
      <c r="I377" s="43"/>
      <c r="J377" s="43"/>
      <c r="K377" s="41"/>
      <c r="L377" s="41"/>
      <c r="M377" s="41"/>
    </row>
    <row r="378" customFormat="false" ht="18" hidden="false" customHeight="true" outlineLevel="0" collapsed="false">
      <c r="A378" s="40" t="str">
        <f aca="false">IF(B378="","",ROW()-4)</f>
        <v/>
      </c>
      <c r="B378" s="41"/>
      <c r="C378" s="42"/>
      <c r="D378" s="42"/>
      <c r="E378" s="42"/>
      <c r="F378" s="43"/>
      <c r="G378" s="40" t="str">
        <f aca="true">IF(OR(F378="",E378="Done",E378="Cancelled"),"",F378-TODAY())</f>
        <v/>
      </c>
      <c r="H378" s="44" t="str">
        <f aca="false">IF(G378="","",IF(G378&lt;0,"OVERDUE",IF(G378=0,"DUE TODAY",IF(G378&lt;=3,"DUE SOON",""))))</f>
        <v/>
      </c>
      <c r="I378" s="43"/>
      <c r="J378" s="43"/>
      <c r="K378" s="41"/>
      <c r="L378" s="41"/>
      <c r="M378" s="41"/>
    </row>
    <row r="379" customFormat="false" ht="18" hidden="false" customHeight="true" outlineLevel="0" collapsed="false">
      <c r="A379" s="40" t="str">
        <f aca="false">IF(B379="","",ROW()-4)</f>
        <v/>
      </c>
      <c r="B379" s="41"/>
      <c r="C379" s="42"/>
      <c r="D379" s="42"/>
      <c r="E379" s="42"/>
      <c r="F379" s="43"/>
      <c r="G379" s="40" t="str">
        <f aca="true">IF(OR(F379="",E379="Done",E379="Cancelled"),"",F379-TODAY())</f>
        <v/>
      </c>
      <c r="H379" s="44" t="str">
        <f aca="false">IF(G379="","",IF(G379&lt;0,"OVERDUE",IF(G379=0,"DUE TODAY",IF(G379&lt;=3,"DUE SOON",""))))</f>
        <v/>
      </c>
      <c r="I379" s="43"/>
      <c r="J379" s="43"/>
      <c r="K379" s="41"/>
      <c r="L379" s="41"/>
      <c r="M379" s="41"/>
    </row>
    <row r="380" customFormat="false" ht="18" hidden="false" customHeight="true" outlineLevel="0" collapsed="false">
      <c r="A380" s="40" t="str">
        <f aca="false">IF(B380="","",ROW()-4)</f>
        <v/>
      </c>
      <c r="B380" s="41"/>
      <c r="C380" s="42"/>
      <c r="D380" s="42"/>
      <c r="E380" s="42"/>
      <c r="F380" s="43"/>
      <c r="G380" s="40" t="str">
        <f aca="true">IF(OR(F380="",E380="Done",E380="Cancelled"),"",F380-TODAY())</f>
        <v/>
      </c>
      <c r="H380" s="44" t="str">
        <f aca="false">IF(G380="","",IF(G380&lt;0,"OVERDUE",IF(G380=0,"DUE TODAY",IF(G380&lt;=3,"DUE SOON",""))))</f>
        <v/>
      </c>
      <c r="I380" s="43"/>
      <c r="J380" s="43"/>
      <c r="K380" s="41"/>
      <c r="L380" s="41"/>
      <c r="M380" s="41"/>
    </row>
    <row r="381" customFormat="false" ht="18" hidden="false" customHeight="true" outlineLevel="0" collapsed="false">
      <c r="A381" s="40" t="str">
        <f aca="false">IF(B381="","",ROW()-4)</f>
        <v/>
      </c>
      <c r="B381" s="41"/>
      <c r="C381" s="42"/>
      <c r="D381" s="42"/>
      <c r="E381" s="42"/>
      <c r="F381" s="43"/>
      <c r="G381" s="40" t="str">
        <f aca="true">IF(OR(F381="",E381="Done",E381="Cancelled"),"",F381-TODAY())</f>
        <v/>
      </c>
      <c r="H381" s="44" t="str">
        <f aca="false">IF(G381="","",IF(G381&lt;0,"OVERDUE",IF(G381=0,"DUE TODAY",IF(G381&lt;=3,"DUE SOON",""))))</f>
        <v/>
      </c>
      <c r="I381" s="43"/>
      <c r="J381" s="43"/>
      <c r="K381" s="41"/>
      <c r="L381" s="41"/>
      <c r="M381" s="41"/>
    </row>
    <row r="382" customFormat="false" ht="18" hidden="false" customHeight="true" outlineLevel="0" collapsed="false">
      <c r="A382" s="40" t="str">
        <f aca="false">IF(B382="","",ROW()-4)</f>
        <v/>
      </c>
      <c r="B382" s="41"/>
      <c r="C382" s="42"/>
      <c r="D382" s="42"/>
      <c r="E382" s="42"/>
      <c r="F382" s="43"/>
      <c r="G382" s="40" t="str">
        <f aca="true">IF(OR(F382="",E382="Done",E382="Cancelled"),"",F382-TODAY())</f>
        <v/>
      </c>
      <c r="H382" s="44" t="str">
        <f aca="false">IF(G382="","",IF(G382&lt;0,"OVERDUE",IF(G382=0,"DUE TODAY",IF(G382&lt;=3,"DUE SOON",""))))</f>
        <v/>
      </c>
      <c r="I382" s="43"/>
      <c r="J382" s="43"/>
      <c r="K382" s="41"/>
      <c r="L382" s="41"/>
      <c r="M382" s="41"/>
    </row>
    <row r="383" customFormat="false" ht="18" hidden="false" customHeight="true" outlineLevel="0" collapsed="false">
      <c r="A383" s="40" t="str">
        <f aca="false">IF(B383="","",ROW()-4)</f>
        <v/>
      </c>
      <c r="B383" s="41"/>
      <c r="C383" s="42"/>
      <c r="D383" s="42"/>
      <c r="E383" s="42"/>
      <c r="F383" s="43"/>
      <c r="G383" s="40" t="str">
        <f aca="true">IF(OR(F383="",E383="Done",E383="Cancelled"),"",F383-TODAY())</f>
        <v/>
      </c>
      <c r="H383" s="44" t="str">
        <f aca="false">IF(G383="","",IF(G383&lt;0,"OVERDUE",IF(G383=0,"DUE TODAY",IF(G383&lt;=3,"DUE SOON",""))))</f>
        <v/>
      </c>
      <c r="I383" s="43"/>
      <c r="J383" s="43"/>
      <c r="K383" s="41"/>
      <c r="L383" s="41"/>
      <c r="M383" s="41"/>
    </row>
    <row r="384" customFormat="false" ht="18" hidden="false" customHeight="true" outlineLevel="0" collapsed="false">
      <c r="A384" s="40" t="str">
        <f aca="false">IF(B384="","",ROW()-4)</f>
        <v/>
      </c>
      <c r="B384" s="41"/>
      <c r="C384" s="42"/>
      <c r="D384" s="42"/>
      <c r="E384" s="42"/>
      <c r="F384" s="43"/>
      <c r="G384" s="40" t="str">
        <f aca="true">IF(OR(F384="",E384="Done",E384="Cancelled"),"",F384-TODAY())</f>
        <v/>
      </c>
      <c r="H384" s="44" t="str">
        <f aca="false">IF(G384="","",IF(G384&lt;0,"OVERDUE",IF(G384=0,"DUE TODAY",IF(G384&lt;=3,"DUE SOON",""))))</f>
        <v/>
      </c>
      <c r="I384" s="43"/>
      <c r="J384" s="43"/>
      <c r="K384" s="41"/>
      <c r="L384" s="41"/>
      <c r="M384" s="41"/>
    </row>
    <row r="385" customFormat="false" ht="18" hidden="false" customHeight="true" outlineLevel="0" collapsed="false">
      <c r="A385" s="40" t="str">
        <f aca="false">IF(B385="","",ROW()-4)</f>
        <v/>
      </c>
      <c r="B385" s="41"/>
      <c r="C385" s="42"/>
      <c r="D385" s="42"/>
      <c r="E385" s="42"/>
      <c r="F385" s="43"/>
      <c r="G385" s="40" t="str">
        <f aca="true">IF(OR(F385="",E385="Done",E385="Cancelled"),"",F385-TODAY())</f>
        <v/>
      </c>
      <c r="H385" s="44" t="str">
        <f aca="false">IF(G385="","",IF(G385&lt;0,"OVERDUE",IF(G385=0,"DUE TODAY",IF(G385&lt;=3,"DUE SOON",""))))</f>
        <v/>
      </c>
      <c r="I385" s="43"/>
      <c r="J385" s="43"/>
      <c r="K385" s="41"/>
      <c r="L385" s="41"/>
      <c r="M385" s="41"/>
    </row>
    <row r="386" customFormat="false" ht="18" hidden="false" customHeight="true" outlineLevel="0" collapsed="false">
      <c r="A386" s="40" t="str">
        <f aca="false">IF(B386="","",ROW()-4)</f>
        <v/>
      </c>
      <c r="B386" s="41"/>
      <c r="C386" s="42"/>
      <c r="D386" s="42"/>
      <c r="E386" s="42"/>
      <c r="F386" s="43"/>
      <c r="G386" s="40" t="str">
        <f aca="true">IF(OR(F386="",E386="Done",E386="Cancelled"),"",F386-TODAY())</f>
        <v/>
      </c>
      <c r="H386" s="44" t="str">
        <f aca="false">IF(G386="","",IF(G386&lt;0,"OVERDUE",IF(G386=0,"DUE TODAY",IF(G386&lt;=3,"DUE SOON",""))))</f>
        <v/>
      </c>
      <c r="I386" s="43"/>
      <c r="J386" s="43"/>
      <c r="K386" s="41"/>
      <c r="L386" s="41"/>
      <c r="M386" s="41"/>
    </row>
    <row r="387" customFormat="false" ht="18" hidden="false" customHeight="true" outlineLevel="0" collapsed="false">
      <c r="A387" s="40" t="str">
        <f aca="false">IF(B387="","",ROW()-4)</f>
        <v/>
      </c>
      <c r="B387" s="41"/>
      <c r="C387" s="42"/>
      <c r="D387" s="42"/>
      <c r="E387" s="42"/>
      <c r="F387" s="43"/>
      <c r="G387" s="40" t="str">
        <f aca="true">IF(OR(F387="",E387="Done",E387="Cancelled"),"",F387-TODAY())</f>
        <v/>
      </c>
      <c r="H387" s="44" t="str">
        <f aca="false">IF(G387="","",IF(G387&lt;0,"OVERDUE",IF(G387=0,"DUE TODAY",IF(G387&lt;=3,"DUE SOON",""))))</f>
        <v/>
      </c>
      <c r="I387" s="43"/>
      <c r="J387" s="43"/>
      <c r="K387" s="41"/>
      <c r="L387" s="41"/>
      <c r="M387" s="41"/>
    </row>
    <row r="388" customFormat="false" ht="18" hidden="false" customHeight="true" outlineLevel="0" collapsed="false">
      <c r="A388" s="40" t="str">
        <f aca="false">IF(B388="","",ROW()-4)</f>
        <v/>
      </c>
      <c r="B388" s="41"/>
      <c r="C388" s="42"/>
      <c r="D388" s="42"/>
      <c r="E388" s="42"/>
      <c r="F388" s="43"/>
      <c r="G388" s="40" t="str">
        <f aca="true">IF(OR(F388="",E388="Done",E388="Cancelled"),"",F388-TODAY())</f>
        <v/>
      </c>
      <c r="H388" s="44" t="str">
        <f aca="false">IF(G388="","",IF(G388&lt;0,"OVERDUE",IF(G388=0,"DUE TODAY",IF(G388&lt;=3,"DUE SOON",""))))</f>
        <v/>
      </c>
      <c r="I388" s="43"/>
      <c r="J388" s="43"/>
      <c r="K388" s="41"/>
      <c r="L388" s="41"/>
      <c r="M388" s="41"/>
    </row>
    <row r="389" customFormat="false" ht="18" hidden="false" customHeight="true" outlineLevel="0" collapsed="false">
      <c r="A389" s="40" t="str">
        <f aca="false">IF(B389="","",ROW()-4)</f>
        <v/>
      </c>
      <c r="B389" s="41"/>
      <c r="C389" s="42"/>
      <c r="D389" s="42"/>
      <c r="E389" s="42"/>
      <c r="F389" s="43"/>
      <c r="G389" s="40" t="str">
        <f aca="true">IF(OR(F389="",E389="Done",E389="Cancelled"),"",F389-TODAY())</f>
        <v/>
      </c>
      <c r="H389" s="44" t="str">
        <f aca="false">IF(G389="","",IF(G389&lt;0,"OVERDUE",IF(G389=0,"DUE TODAY",IF(G389&lt;=3,"DUE SOON",""))))</f>
        <v/>
      </c>
      <c r="I389" s="43"/>
      <c r="J389" s="43"/>
      <c r="K389" s="41"/>
      <c r="L389" s="41"/>
      <c r="M389" s="41"/>
    </row>
    <row r="390" customFormat="false" ht="18" hidden="false" customHeight="true" outlineLevel="0" collapsed="false">
      <c r="A390" s="40" t="str">
        <f aca="false">IF(B390="","",ROW()-4)</f>
        <v/>
      </c>
      <c r="B390" s="41"/>
      <c r="C390" s="42"/>
      <c r="D390" s="42"/>
      <c r="E390" s="42"/>
      <c r="F390" s="43"/>
      <c r="G390" s="40" t="str">
        <f aca="true">IF(OR(F390="",E390="Done",E390="Cancelled"),"",F390-TODAY())</f>
        <v/>
      </c>
      <c r="H390" s="44" t="str">
        <f aca="false">IF(G390="","",IF(G390&lt;0,"OVERDUE",IF(G390=0,"DUE TODAY",IF(G390&lt;=3,"DUE SOON",""))))</f>
        <v/>
      </c>
      <c r="I390" s="43"/>
      <c r="J390" s="43"/>
      <c r="K390" s="41"/>
      <c r="L390" s="41"/>
      <c r="M390" s="41"/>
    </row>
    <row r="391" customFormat="false" ht="18" hidden="false" customHeight="true" outlineLevel="0" collapsed="false">
      <c r="A391" s="40" t="str">
        <f aca="false">IF(B391="","",ROW()-4)</f>
        <v/>
      </c>
      <c r="B391" s="41"/>
      <c r="C391" s="42"/>
      <c r="D391" s="42"/>
      <c r="E391" s="42"/>
      <c r="F391" s="43"/>
      <c r="G391" s="40" t="str">
        <f aca="true">IF(OR(F391="",E391="Done",E391="Cancelled"),"",F391-TODAY())</f>
        <v/>
      </c>
      <c r="H391" s="44" t="str">
        <f aca="false">IF(G391="","",IF(G391&lt;0,"OVERDUE",IF(G391=0,"DUE TODAY",IF(G391&lt;=3,"DUE SOON",""))))</f>
        <v/>
      </c>
      <c r="I391" s="43"/>
      <c r="J391" s="43"/>
      <c r="K391" s="41"/>
      <c r="L391" s="41"/>
      <c r="M391" s="41"/>
    </row>
    <row r="392" customFormat="false" ht="18" hidden="false" customHeight="true" outlineLevel="0" collapsed="false">
      <c r="A392" s="40" t="str">
        <f aca="false">IF(B392="","",ROW()-4)</f>
        <v/>
      </c>
      <c r="B392" s="41"/>
      <c r="C392" s="42"/>
      <c r="D392" s="42"/>
      <c r="E392" s="42"/>
      <c r="F392" s="43"/>
      <c r="G392" s="40" t="str">
        <f aca="true">IF(OR(F392="",E392="Done",E392="Cancelled"),"",F392-TODAY())</f>
        <v/>
      </c>
      <c r="H392" s="44" t="str">
        <f aca="false">IF(G392="","",IF(G392&lt;0,"OVERDUE",IF(G392=0,"DUE TODAY",IF(G392&lt;=3,"DUE SOON",""))))</f>
        <v/>
      </c>
      <c r="I392" s="43"/>
      <c r="J392" s="43"/>
      <c r="K392" s="41"/>
      <c r="L392" s="41"/>
      <c r="M392" s="41"/>
    </row>
    <row r="393" customFormat="false" ht="18" hidden="false" customHeight="true" outlineLevel="0" collapsed="false">
      <c r="A393" s="40" t="str">
        <f aca="false">IF(B393="","",ROW()-4)</f>
        <v/>
      </c>
      <c r="B393" s="41"/>
      <c r="C393" s="42"/>
      <c r="D393" s="42"/>
      <c r="E393" s="42"/>
      <c r="F393" s="43"/>
      <c r="G393" s="40" t="str">
        <f aca="true">IF(OR(F393="",E393="Done",E393="Cancelled"),"",F393-TODAY())</f>
        <v/>
      </c>
      <c r="H393" s="44" t="str">
        <f aca="false">IF(G393="","",IF(G393&lt;0,"OVERDUE",IF(G393=0,"DUE TODAY",IF(G393&lt;=3,"DUE SOON",""))))</f>
        <v/>
      </c>
      <c r="I393" s="43"/>
      <c r="J393" s="43"/>
      <c r="K393" s="41"/>
      <c r="L393" s="41"/>
      <c r="M393" s="41"/>
    </row>
    <row r="394" customFormat="false" ht="18" hidden="false" customHeight="true" outlineLevel="0" collapsed="false">
      <c r="A394" s="40" t="str">
        <f aca="false">IF(B394="","",ROW()-4)</f>
        <v/>
      </c>
      <c r="B394" s="41"/>
      <c r="C394" s="42"/>
      <c r="D394" s="42"/>
      <c r="E394" s="42"/>
      <c r="F394" s="43"/>
      <c r="G394" s="40" t="str">
        <f aca="true">IF(OR(F394="",E394="Done",E394="Cancelled"),"",F394-TODAY())</f>
        <v/>
      </c>
      <c r="H394" s="44" t="str">
        <f aca="false">IF(G394="","",IF(G394&lt;0,"OVERDUE",IF(G394=0,"DUE TODAY",IF(G394&lt;=3,"DUE SOON",""))))</f>
        <v/>
      </c>
      <c r="I394" s="43"/>
      <c r="J394" s="43"/>
      <c r="K394" s="41"/>
      <c r="L394" s="41"/>
      <c r="M394" s="41"/>
    </row>
    <row r="395" customFormat="false" ht="18" hidden="false" customHeight="true" outlineLevel="0" collapsed="false">
      <c r="A395" s="40" t="str">
        <f aca="false">IF(B395="","",ROW()-4)</f>
        <v/>
      </c>
      <c r="B395" s="41"/>
      <c r="C395" s="42"/>
      <c r="D395" s="42"/>
      <c r="E395" s="42"/>
      <c r="F395" s="43"/>
      <c r="G395" s="40" t="str">
        <f aca="true">IF(OR(F395="",E395="Done",E395="Cancelled"),"",F395-TODAY())</f>
        <v/>
      </c>
      <c r="H395" s="44" t="str">
        <f aca="false">IF(G395="","",IF(G395&lt;0,"OVERDUE",IF(G395=0,"DUE TODAY",IF(G395&lt;=3,"DUE SOON",""))))</f>
        <v/>
      </c>
      <c r="I395" s="43"/>
      <c r="J395" s="43"/>
      <c r="K395" s="41"/>
      <c r="L395" s="41"/>
      <c r="M395" s="41"/>
    </row>
    <row r="396" customFormat="false" ht="18" hidden="false" customHeight="true" outlineLevel="0" collapsed="false">
      <c r="A396" s="40" t="str">
        <f aca="false">IF(B396="","",ROW()-4)</f>
        <v/>
      </c>
      <c r="B396" s="41"/>
      <c r="C396" s="42"/>
      <c r="D396" s="42"/>
      <c r="E396" s="42"/>
      <c r="F396" s="43"/>
      <c r="G396" s="40" t="str">
        <f aca="true">IF(OR(F396="",E396="Done",E396="Cancelled"),"",F396-TODAY())</f>
        <v/>
      </c>
      <c r="H396" s="44" t="str">
        <f aca="false">IF(G396="","",IF(G396&lt;0,"OVERDUE",IF(G396=0,"DUE TODAY",IF(G396&lt;=3,"DUE SOON",""))))</f>
        <v/>
      </c>
      <c r="I396" s="43"/>
      <c r="J396" s="43"/>
      <c r="K396" s="41"/>
      <c r="L396" s="41"/>
      <c r="M396" s="41"/>
    </row>
    <row r="397" customFormat="false" ht="18" hidden="false" customHeight="true" outlineLevel="0" collapsed="false">
      <c r="A397" s="40" t="str">
        <f aca="false">IF(B397="","",ROW()-4)</f>
        <v/>
      </c>
      <c r="B397" s="41"/>
      <c r="C397" s="42"/>
      <c r="D397" s="42"/>
      <c r="E397" s="42"/>
      <c r="F397" s="43"/>
      <c r="G397" s="40" t="str">
        <f aca="true">IF(OR(F397="",E397="Done",E397="Cancelled"),"",F397-TODAY())</f>
        <v/>
      </c>
      <c r="H397" s="44" t="str">
        <f aca="false">IF(G397="","",IF(G397&lt;0,"OVERDUE",IF(G397=0,"DUE TODAY",IF(G397&lt;=3,"DUE SOON",""))))</f>
        <v/>
      </c>
      <c r="I397" s="43"/>
      <c r="J397" s="43"/>
      <c r="K397" s="41"/>
      <c r="L397" s="41"/>
      <c r="M397" s="41"/>
    </row>
    <row r="398" customFormat="false" ht="18" hidden="false" customHeight="true" outlineLevel="0" collapsed="false">
      <c r="A398" s="40" t="str">
        <f aca="false">IF(B398="","",ROW()-4)</f>
        <v/>
      </c>
      <c r="B398" s="41"/>
      <c r="C398" s="42"/>
      <c r="D398" s="42"/>
      <c r="E398" s="42"/>
      <c r="F398" s="43"/>
      <c r="G398" s="40" t="str">
        <f aca="true">IF(OR(F398="",E398="Done",E398="Cancelled"),"",F398-TODAY())</f>
        <v/>
      </c>
      <c r="H398" s="44" t="str">
        <f aca="false">IF(G398="","",IF(G398&lt;0,"OVERDUE",IF(G398=0,"DUE TODAY",IF(G398&lt;=3,"DUE SOON",""))))</f>
        <v/>
      </c>
      <c r="I398" s="43"/>
      <c r="J398" s="43"/>
      <c r="K398" s="41"/>
      <c r="L398" s="41"/>
      <c r="M398" s="41"/>
    </row>
    <row r="399" customFormat="false" ht="18" hidden="false" customHeight="true" outlineLevel="0" collapsed="false">
      <c r="A399" s="40" t="str">
        <f aca="false">IF(B399="","",ROW()-4)</f>
        <v/>
      </c>
      <c r="B399" s="41"/>
      <c r="C399" s="42"/>
      <c r="D399" s="42"/>
      <c r="E399" s="42"/>
      <c r="F399" s="43"/>
      <c r="G399" s="40" t="str">
        <f aca="true">IF(OR(F399="",E399="Done",E399="Cancelled"),"",F399-TODAY())</f>
        <v/>
      </c>
      <c r="H399" s="44" t="str">
        <f aca="false">IF(G399="","",IF(G399&lt;0,"OVERDUE",IF(G399=0,"DUE TODAY",IF(G399&lt;=3,"DUE SOON",""))))</f>
        <v/>
      </c>
      <c r="I399" s="43"/>
      <c r="J399" s="43"/>
      <c r="K399" s="41"/>
      <c r="L399" s="41"/>
      <c r="M399" s="41"/>
    </row>
    <row r="400" customFormat="false" ht="18" hidden="false" customHeight="true" outlineLevel="0" collapsed="false">
      <c r="A400" s="40" t="str">
        <f aca="false">IF(B400="","",ROW()-4)</f>
        <v/>
      </c>
      <c r="B400" s="41"/>
      <c r="C400" s="42"/>
      <c r="D400" s="42"/>
      <c r="E400" s="42"/>
      <c r="F400" s="43"/>
      <c r="G400" s="40" t="str">
        <f aca="true">IF(OR(F400="",E400="Done",E400="Cancelled"),"",F400-TODAY())</f>
        <v/>
      </c>
      <c r="H400" s="44" t="str">
        <f aca="false">IF(G400="","",IF(G400&lt;0,"OVERDUE",IF(G400=0,"DUE TODAY",IF(G400&lt;=3,"DUE SOON",""))))</f>
        <v/>
      </c>
      <c r="I400" s="43"/>
      <c r="J400" s="43"/>
      <c r="K400" s="41"/>
      <c r="L400" s="41"/>
      <c r="M400" s="41"/>
    </row>
    <row r="401" customFormat="false" ht="18" hidden="false" customHeight="true" outlineLevel="0" collapsed="false">
      <c r="A401" s="40" t="str">
        <f aca="false">IF(B401="","",ROW()-4)</f>
        <v/>
      </c>
      <c r="B401" s="41"/>
      <c r="C401" s="42"/>
      <c r="D401" s="42"/>
      <c r="E401" s="42"/>
      <c r="F401" s="43"/>
      <c r="G401" s="40" t="str">
        <f aca="true">IF(OR(F401="",E401="Done",E401="Cancelled"),"",F401-TODAY())</f>
        <v/>
      </c>
      <c r="H401" s="44" t="str">
        <f aca="false">IF(G401="","",IF(G401&lt;0,"OVERDUE",IF(G401=0,"DUE TODAY",IF(G401&lt;=3,"DUE SOON",""))))</f>
        <v/>
      </c>
      <c r="I401" s="43"/>
      <c r="J401" s="43"/>
      <c r="K401" s="41"/>
      <c r="L401" s="41"/>
      <c r="M401" s="41"/>
    </row>
    <row r="402" customFormat="false" ht="18" hidden="false" customHeight="true" outlineLevel="0" collapsed="false">
      <c r="A402" s="40" t="str">
        <f aca="false">IF(B402="","",ROW()-4)</f>
        <v/>
      </c>
      <c r="B402" s="41"/>
      <c r="C402" s="42"/>
      <c r="D402" s="42"/>
      <c r="E402" s="42"/>
      <c r="F402" s="43"/>
      <c r="G402" s="40" t="str">
        <f aca="true">IF(OR(F402="",E402="Done",E402="Cancelled"),"",F402-TODAY())</f>
        <v/>
      </c>
      <c r="H402" s="44" t="str">
        <f aca="false">IF(G402="","",IF(G402&lt;0,"OVERDUE",IF(G402=0,"DUE TODAY",IF(G402&lt;=3,"DUE SOON",""))))</f>
        <v/>
      </c>
      <c r="I402" s="43"/>
      <c r="J402" s="43"/>
      <c r="K402" s="41"/>
      <c r="L402" s="41"/>
      <c r="M402" s="41"/>
    </row>
    <row r="403" customFormat="false" ht="18" hidden="false" customHeight="true" outlineLevel="0" collapsed="false">
      <c r="A403" s="40" t="str">
        <f aca="false">IF(B403="","",ROW()-4)</f>
        <v/>
      </c>
      <c r="B403" s="41"/>
      <c r="C403" s="42"/>
      <c r="D403" s="42"/>
      <c r="E403" s="42"/>
      <c r="F403" s="43"/>
      <c r="G403" s="40" t="str">
        <f aca="true">IF(OR(F403="",E403="Done",E403="Cancelled"),"",F403-TODAY())</f>
        <v/>
      </c>
      <c r="H403" s="44" t="str">
        <f aca="false">IF(G403="","",IF(G403&lt;0,"OVERDUE",IF(G403=0,"DUE TODAY",IF(G403&lt;=3,"DUE SOON",""))))</f>
        <v/>
      </c>
      <c r="I403" s="43"/>
      <c r="J403" s="43"/>
      <c r="K403" s="41"/>
      <c r="L403" s="41"/>
      <c r="M403" s="41"/>
    </row>
    <row r="404" customFormat="false" ht="18" hidden="false" customHeight="true" outlineLevel="0" collapsed="false">
      <c r="A404" s="40" t="str">
        <f aca="false">IF(B404="","",ROW()-4)</f>
        <v/>
      </c>
      <c r="B404" s="41"/>
      <c r="C404" s="42"/>
      <c r="D404" s="42"/>
      <c r="E404" s="42"/>
      <c r="F404" s="43"/>
      <c r="G404" s="40" t="str">
        <f aca="true">IF(OR(F404="",E404="Done",E404="Cancelled"),"",F404-TODAY())</f>
        <v/>
      </c>
      <c r="H404" s="44" t="str">
        <f aca="false">IF(G404="","",IF(G404&lt;0,"OVERDUE",IF(G404=0,"DUE TODAY",IF(G404&lt;=3,"DUE SOON",""))))</f>
        <v/>
      </c>
      <c r="I404" s="43"/>
      <c r="J404" s="43"/>
      <c r="K404" s="41"/>
      <c r="L404" s="41"/>
      <c r="M404" s="41"/>
    </row>
    <row r="405" customFormat="false" ht="18" hidden="false" customHeight="true" outlineLevel="0" collapsed="false">
      <c r="A405" s="40" t="str">
        <f aca="false">IF(B405="","",ROW()-4)</f>
        <v/>
      </c>
      <c r="B405" s="41"/>
      <c r="C405" s="42"/>
      <c r="D405" s="42"/>
      <c r="E405" s="42"/>
      <c r="F405" s="43"/>
      <c r="G405" s="40" t="str">
        <f aca="true">IF(OR(F405="",E405="Done",E405="Cancelled"),"",F405-TODAY())</f>
        <v/>
      </c>
      <c r="H405" s="44" t="str">
        <f aca="false">IF(G405="","",IF(G405&lt;0,"OVERDUE",IF(G405=0,"DUE TODAY",IF(G405&lt;=3,"DUE SOON",""))))</f>
        <v/>
      </c>
      <c r="I405" s="43"/>
      <c r="J405" s="43"/>
      <c r="K405" s="41"/>
      <c r="L405" s="41"/>
      <c r="M405" s="41"/>
    </row>
    <row r="406" customFormat="false" ht="18" hidden="false" customHeight="true" outlineLevel="0" collapsed="false">
      <c r="A406" s="40" t="str">
        <f aca="false">IF(B406="","",ROW()-4)</f>
        <v/>
      </c>
      <c r="B406" s="41"/>
      <c r="C406" s="42"/>
      <c r="D406" s="42"/>
      <c r="E406" s="42"/>
      <c r="F406" s="43"/>
      <c r="G406" s="40" t="str">
        <f aca="true">IF(OR(F406="",E406="Done",E406="Cancelled"),"",F406-TODAY())</f>
        <v/>
      </c>
      <c r="H406" s="44" t="str">
        <f aca="false">IF(G406="","",IF(G406&lt;0,"OVERDUE",IF(G406=0,"DUE TODAY",IF(G406&lt;=3,"DUE SOON",""))))</f>
        <v/>
      </c>
      <c r="I406" s="43"/>
      <c r="J406" s="43"/>
      <c r="K406" s="41"/>
      <c r="L406" s="41"/>
      <c r="M406" s="41"/>
    </row>
    <row r="407" customFormat="false" ht="18" hidden="false" customHeight="true" outlineLevel="0" collapsed="false">
      <c r="A407" s="40" t="str">
        <f aca="false">IF(B407="","",ROW()-4)</f>
        <v/>
      </c>
      <c r="B407" s="41"/>
      <c r="C407" s="42"/>
      <c r="D407" s="42"/>
      <c r="E407" s="42"/>
      <c r="F407" s="43"/>
      <c r="G407" s="40" t="str">
        <f aca="true">IF(OR(F407="",E407="Done",E407="Cancelled"),"",F407-TODAY())</f>
        <v/>
      </c>
      <c r="H407" s="44" t="str">
        <f aca="false">IF(G407="","",IF(G407&lt;0,"OVERDUE",IF(G407=0,"DUE TODAY",IF(G407&lt;=3,"DUE SOON",""))))</f>
        <v/>
      </c>
      <c r="I407" s="43"/>
      <c r="J407" s="43"/>
      <c r="K407" s="41"/>
      <c r="L407" s="41"/>
      <c r="M407" s="41"/>
    </row>
    <row r="408" customFormat="false" ht="18" hidden="false" customHeight="true" outlineLevel="0" collapsed="false">
      <c r="A408" s="40" t="str">
        <f aca="false">IF(B408="","",ROW()-4)</f>
        <v/>
      </c>
      <c r="B408" s="41"/>
      <c r="C408" s="42"/>
      <c r="D408" s="42"/>
      <c r="E408" s="42"/>
      <c r="F408" s="43"/>
      <c r="G408" s="40" t="str">
        <f aca="true">IF(OR(F408="",E408="Done",E408="Cancelled"),"",F408-TODAY())</f>
        <v/>
      </c>
      <c r="H408" s="44" t="str">
        <f aca="false">IF(G408="","",IF(G408&lt;0,"OVERDUE",IF(G408=0,"DUE TODAY",IF(G408&lt;=3,"DUE SOON",""))))</f>
        <v/>
      </c>
      <c r="I408" s="43"/>
      <c r="J408" s="43"/>
      <c r="K408" s="41"/>
      <c r="L408" s="41"/>
      <c r="M408" s="41"/>
    </row>
    <row r="409" customFormat="false" ht="18" hidden="false" customHeight="true" outlineLevel="0" collapsed="false">
      <c r="A409" s="40" t="str">
        <f aca="false">IF(B409="","",ROW()-4)</f>
        <v/>
      </c>
      <c r="B409" s="41"/>
      <c r="C409" s="42"/>
      <c r="D409" s="42"/>
      <c r="E409" s="42"/>
      <c r="F409" s="43"/>
      <c r="G409" s="40" t="str">
        <f aca="true">IF(OR(F409="",E409="Done",E409="Cancelled"),"",F409-TODAY())</f>
        <v/>
      </c>
      <c r="H409" s="44" t="str">
        <f aca="false">IF(G409="","",IF(G409&lt;0,"OVERDUE",IF(G409=0,"DUE TODAY",IF(G409&lt;=3,"DUE SOON",""))))</f>
        <v/>
      </c>
      <c r="I409" s="43"/>
      <c r="J409" s="43"/>
      <c r="K409" s="41"/>
      <c r="L409" s="41"/>
      <c r="M409" s="41"/>
    </row>
    <row r="410" customFormat="false" ht="18" hidden="false" customHeight="true" outlineLevel="0" collapsed="false">
      <c r="A410" s="40" t="str">
        <f aca="false">IF(B410="","",ROW()-4)</f>
        <v/>
      </c>
      <c r="B410" s="41"/>
      <c r="C410" s="42"/>
      <c r="D410" s="42"/>
      <c r="E410" s="42"/>
      <c r="F410" s="43"/>
      <c r="G410" s="40" t="str">
        <f aca="true">IF(OR(F410="",E410="Done",E410="Cancelled"),"",F410-TODAY())</f>
        <v/>
      </c>
      <c r="H410" s="44" t="str">
        <f aca="false">IF(G410="","",IF(G410&lt;0,"OVERDUE",IF(G410=0,"DUE TODAY",IF(G410&lt;=3,"DUE SOON",""))))</f>
        <v/>
      </c>
      <c r="I410" s="43"/>
      <c r="J410" s="43"/>
      <c r="K410" s="41"/>
      <c r="L410" s="41"/>
      <c r="M410" s="41"/>
    </row>
    <row r="411" customFormat="false" ht="18" hidden="false" customHeight="true" outlineLevel="0" collapsed="false">
      <c r="A411" s="40" t="str">
        <f aca="false">IF(B411="","",ROW()-4)</f>
        <v/>
      </c>
      <c r="B411" s="41"/>
      <c r="C411" s="42"/>
      <c r="D411" s="42"/>
      <c r="E411" s="42"/>
      <c r="F411" s="43"/>
      <c r="G411" s="40" t="str">
        <f aca="true">IF(OR(F411="",E411="Done",E411="Cancelled"),"",F411-TODAY())</f>
        <v/>
      </c>
      <c r="H411" s="44" t="str">
        <f aca="false">IF(G411="","",IF(G411&lt;0,"OVERDUE",IF(G411=0,"DUE TODAY",IF(G411&lt;=3,"DUE SOON",""))))</f>
        <v/>
      </c>
      <c r="I411" s="43"/>
      <c r="J411" s="43"/>
      <c r="K411" s="41"/>
      <c r="L411" s="41"/>
      <c r="M411" s="41"/>
    </row>
    <row r="412" customFormat="false" ht="18" hidden="false" customHeight="true" outlineLevel="0" collapsed="false">
      <c r="A412" s="40" t="str">
        <f aca="false">IF(B412="","",ROW()-4)</f>
        <v/>
      </c>
      <c r="B412" s="41"/>
      <c r="C412" s="42"/>
      <c r="D412" s="42"/>
      <c r="E412" s="42"/>
      <c r="F412" s="43"/>
      <c r="G412" s="40" t="str">
        <f aca="true">IF(OR(F412="",E412="Done",E412="Cancelled"),"",F412-TODAY())</f>
        <v/>
      </c>
      <c r="H412" s="44" t="str">
        <f aca="false">IF(G412="","",IF(G412&lt;0,"OVERDUE",IF(G412=0,"DUE TODAY",IF(G412&lt;=3,"DUE SOON",""))))</f>
        <v/>
      </c>
      <c r="I412" s="43"/>
      <c r="J412" s="43"/>
      <c r="K412" s="41"/>
      <c r="L412" s="41"/>
      <c r="M412" s="41"/>
    </row>
    <row r="413" customFormat="false" ht="18" hidden="false" customHeight="true" outlineLevel="0" collapsed="false">
      <c r="A413" s="40" t="str">
        <f aca="false">IF(B413="","",ROW()-4)</f>
        <v/>
      </c>
      <c r="B413" s="41"/>
      <c r="C413" s="42"/>
      <c r="D413" s="42"/>
      <c r="E413" s="42"/>
      <c r="F413" s="43"/>
      <c r="G413" s="40" t="str">
        <f aca="true">IF(OR(F413="",E413="Done",E413="Cancelled"),"",F413-TODAY())</f>
        <v/>
      </c>
      <c r="H413" s="44" t="str">
        <f aca="false">IF(G413="","",IF(G413&lt;0,"OVERDUE",IF(G413=0,"DUE TODAY",IF(G413&lt;=3,"DUE SOON",""))))</f>
        <v/>
      </c>
      <c r="I413" s="43"/>
      <c r="J413" s="43"/>
      <c r="K413" s="41"/>
      <c r="L413" s="41"/>
      <c r="M413" s="41"/>
    </row>
    <row r="414" customFormat="false" ht="18" hidden="false" customHeight="true" outlineLevel="0" collapsed="false">
      <c r="A414" s="40" t="str">
        <f aca="false">IF(B414="","",ROW()-4)</f>
        <v/>
      </c>
      <c r="B414" s="41"/>
      <c r="C414" s="42"/>
      <c r="D414" s="42"/>
      <c r="E414" s="42"/>
      <c r="F414" s="43"/>
      <c r="G414" s="40" t="str">
        <f aca="true">IF(OR(F414="",E414="Done",E414="Cancelled"),"",F414-TODAY())</f>
        <v/>
      </c>
      <c r="H414" s="44" t="str">
        <f aca="false">IF(G414="","",IF(G414&lt;0,"OVERDUE",IF(G414=0,"DUE TODAY",IF(G414&lt;=3,"DUE SOON",""))))</f>
        <v/>
      </c>
      <c r="I414" s="43"/>
      <c r="J414" s="43"/>
      <c r="K414" s="41"/>
      <c r="L414" s="41"/>
      <c r="M414" s="41"/>
    </row>
    <row r="415" customFormat="false" ht="18" hidden="false" customHeight="true" outlineLevel="0" collapsed="false">
      <c r="A415" s="40" t="str">
        <f aca="false">IF(B415="","",ROW()-4)</f>
        <v/>
      </c>
      <c r="B415" s="41"/>
      <c r="C415" s="42"/>
      <c r="D415" s="42"/>
      <c r="E415" s="42"/>
      <c r="F415" s="43"/>
      <c r="G415" s="40" t="str">
        <f aca="true">IF(OR(F415="",E415="Done",E415="Cancelled"),"",F415-TODAY())</f>
        <v/>
      </c>
      <c r="H415" s="44" t="str">
        <f aca="false">IF(G415="","",IF(G415&lt;0,"OVERDUE",IF(G415=0,"DUE TODAY",IF(G415&lt;=3,"DUE SOON",""))))</f>
        <v/>
      </c>
      <c r="I415" s="43"/>
      <c r="J415" s="43"/>
      <c r="K415" s="41"/>
      <c r="L415" s="41"/>
      <c r="M415" s="41"/>
    </row>
    <row r="416" customFormat="false" ht="18" hidden="false" customHeight="true" outlineLevel="0" collapsed="false">
      <c r="A416" s="40" t="str">
        <f aca="false">IF(B416="","",ROW()-4)</f>
        <v/>
      </c>
      <c r="B416" s="41"/>
      <c r="C416" s="42"/>
      <c r="D416" s="42"/>
      <c r="E416" s="42"/>
      <c r="F416" s="43"/>
      <c r="G416" s="40" t="str">
        <f aca="true">IF(OR(F416="",E416="Done",E416="Cancelled"),"",F416-TODAY())</f>
        <v/>
      </c>
      <c r="H416" s="44" t="str">
        <f aca="false">IF(G416="","",IF(G416&lt;0,"OVERDUE",IF(G416=0,"DUE TODAY",IF(G416&lt;=3,"DUE SOON",""))))</f>
        <v/>
      </c>
      <c r="I416" s="43"/>
      <c r="J416" s="43"/>
      <c r="K416" s="41"/>
      <c r="L416" s="41"/>
      <c r="M416" s="41"/>
    </row>
    <row r="417" customFormat="false" ht="18" hidden="false" customHeight="true" outlineLevel="0" collapsed="false">
      <c r="A417" s="40" t="str">
        <f aca="false">IF(B417="","",ROW()-4)</f>
        <v/>
      </c>
      <c r="B417" s="41"/>
      <c r="C417" s="42"/>
      <c r="D417" s="42"/>
      <c r="E417" s="42"/>
      <c r="F417" s="43"/>
      <c r="G417" s="40" t="str">
        <f aca="true">IF(OR(F417="",E417="Done",E417="Cancelled"),"",F417-TODAY())</f>
        <v/>
      </c>
      <c r="H417" s="44" t="str">
        <f aca="false">IF(G417="","",IF(G417&lt;0,"OVERDUE",IF(G417=0,"DUE TODAY",IF(G417&lt;=3,"DUE SOON",""))))</f>
        <v/>
      </c>
      <c r="I417" s="43"/>
      <c r="J417" s="43"/>
      <c r="K417" s="41"/>
      <c r="L417" s="41"/>
      <c r="M417" s="41"/>
    </row>
    <row r="418" customFormat="false" ht="18" hidden="false" customHeight="true" outlineLevel="0" collapsed="false">
      <c r="A418" s="40" t="str">
        <f aca="false">IF(B418="","",ROW()-4)</f>
        <v/>
      </c>
      <c r="B418" s="41"/>
      <c r="C418" s="42"/>
      <c r="D418" s="42"/>
      <c r="E418" s="42"/>
      <c r="F418" s="43"/>
      <c r="G418" s="40" t="str">
        <f aca="true">IF(OR(F418="",E418="Done",E418="Cancelled"),"",F418-TODAY())</f>
        <v/>
      </c>
      <c r="H418" s="44" t="str">
        <f aca="false">IF(G418="","",IF(G418&lt;0,"OVERDUE",IF(G418=0,"DUE TODAY",IF(G418&lt;=3,"DUE SOON",""))))</f>
        <v/>
      </c>
      <c r="I418" s="43"/>
      <c r="J418" s="43"/>
      <c r="K418" s="41"/>
      <c r="L418" s="41"/>
      <c r="M418" s="41"/>
    </row>
    <row r="419" customFormat="false" ht="18" hidden="false" customHeight="true" outlineLevel="0" collapsed="false">
      <c r="A419" s="40" t="str">
        <f aca="false">IF(B419="","",ROW()-4)</f>
        <v/>
      </c>
      <c r="B419" s="41"/>
      <c r="C419" s="42"/>
      <c r="D419" s="42"/>
      <c r="E419" s="42"/>
      <c r="F419" s="43"/>
      <c r="G419" s="40" t="str">
        <f aca="true">IF(OR(F419="",E419="Done",E419="Cancelled"),"",F419-TODAY())</f>
        <v/>
      </c>
      <c r="H419" s="44" t="str">
        <f aca="false">IF(G419="","",IF(G419&lt;0,"OVERDUE",IF(G419=0,"DUE TODAY",IF(G419&lt;=3,"DUE SOON",""))))</f>
        <v/>
      </c>
      <c r="I419" s="43"/>
      <c r="J419" s="43"/>
      <c r="K419" s="41"/>
      <c r="L419" s="41"/>
      <c r="M419" s="41"/>
    </row>
    <row r="420" customFormat="false" ht="18" hidden="false" customHeight="true" outlineLevel="0" collapsed="false">
      <c r="A420" s="40" t="str">
        <f aca="false">IF(B420="","",ROW()-4)</f>
        <v/>
      </c>
      <c r="B420" s="41"/>
      <c r="C420" s="42"/>
      <c r="D420" s="42"/>
      <c r="E420" s="42"/>
      <c r="F420" s="43"/>
      <c r="G420" s="40" t="str">
        <f aca="true">IF(OR(F420="",E420="Done",E420="Cancelled"),"",F420-TODAY())</f>
        <v/>
      </c>
      <c r="H420" s="44" t="str">
        <f aca="false">IF(G420="","",IF(G420&lt;0,"OVERDUE",IF(G420=0,"DUE TODAY",IF(G420&lt;=3,"DUE SOON",""))))</f>
        <v/>
      </c>
      <c r="I420" s="43"/>
      <c r="J420" s="43"/>
      <c r="K420" s="41"/>
      <c r="L420" s="41"/>
      <c r="M420" s="41"/>
    </row>
    <row r="421" customFormat="false" ht="18" hidden="false" customHeight="true" outlineLevel="0" collapsed="false">
      <c r="A421" s="40" t="str">
        <f aca="false">IF(B421="","",ROW()-4)</f>
        <v/>
      </c>
      <c r="B421" s="41"/>
      <c r="C421" s="42"/>
      <c r="D421" s="42"/>
      <c r="E421" s="42"/>
      <c r="F421" s="43"/>
      <c r="G421" s="40" t="str">
        <f aca="true">IF(OR(F421="",E421="Done",E421="Cancelled"),"",F421-TODAY())</f>
        <v/>
      </c>
      <c r="H421" s="44" t="str">
        <f aca="false">IF(G421="","",IF(G421&lt;0,"OVERDUE",IF(G421=0,"DUE TODAY",IF(G421&lt;=3,"DUE SOON",""))))</f>
        <v/>
      </c>
      <c r="I421" s="43"/>
      <c r="J421" s="43"/>
      <c r="K421" s="41"/>
      <c r="L421" s="41"/>
      <c r="M421" s="41"/>
    </row>
    <row r="422" customFormat="false" ht="18" hidden="false" customHeight="true" outlineLevel="0" collapsed="false">
      <c r="A422" s="40" t="str">
        <f aca="false">IF(B422="","",ROW()-4)</f>
        <v/>
      </c>
      <c r="B422" s="41"/>
      <c r="C422" s="42"/>
      <c r="D422" s="42"/>
      <c r="E422" s="42"/>
      <c r="F422" s="43"/>
      <c r="G422" s="40" t="str">
        <f aca="true">IF(OR(F422="",E422="Done",E422="Cancelled"),"",F422-TODAY())</f>
        <v/>
      </c>
      <c r="H422" s="44" t="str">
        <f aca="false">IF(G422="","",IF(G422&lt;0,"OVERDUE",IF(G422=0,"DUE TODAY",IF(G422&lt;=3,"DUE SOON",""))))</f>
        <v/>
      </c>
      <c r="I422" s="43"/>
      <c r="J422" s="43"/>
      <c r="K422" s="41"/>
      <c r="L422" s="41"/>
      <c r="M422" s="41"/>
    </row>
    <row r="423" customFormat="false" ht="18" hidden="false" customHeight="true" outlineLevel="0" collapsed="false">
      <c r="A423" s="40" t="str">
        <f aca="false">IF(B423="","",ROW()-4)</f>
        <v/>
      </c>
      <c r="B423" s="41"/>
      <c r="C423" s="42"/>
      <c r="D423" s="42"/>
      <c r="E423" s="42"/>
      <c r="F423" s="43"/>
      <c r="G423" s="40" t="str">
        <f aca="true">IF(OR(F423="",E423="Done",E423="Cancelled"),"",F423-TODAY())</f>
        <v/>
      </c>
      <c r="H423" s="44" t="str">
        <f aca="false">IF(G423="","",IF(G423&lt;0,"OVERDUE",IF(G423=0,"DUE TODAY",IF(G423&lt;=3,"DUE SOON",""))))</f>
        <v/>
      </c>
      <c r="I423" s="43"/>
      <c r="J423" s="43"/>
      <c r="K423" s="41"/>
      <c r="L423" s="41"/>
      <c r="M423" s="41"/>
    </row>
    <row r="424" customFormat="false" ht="18" hidden="false" customHeight="true" outlineLevel="0" collapsed="false">
      <c r="A424" s="40" t="str">
        <f aca="false">IF(B424="","",ROW()-4)</f>
        <v/>
      </c>
      <c r="B424" s="41"/>
      <c r="C424" s="42"/>
      <c r="D424" s="42"/>
      <c r="E424" s="42"/>
      <c r="F424" s="43"/>
      <c r="G424" s="40" t="str">
        <f aca="true">IF(OR(F424="",E424="Done",E424="Cancelled"),"",F424-TODAY())</f>
        <v/>
      </c>
      <c r="H424" s="44" t="str">
        <f aca="false">IF(G424="","",IF(G424&lt;0,"OVERDUE",IF(G424=0,"DUE TODAY",IF(G424&lt;=3,"DUE SOON",""))))</f>
        <v/>
      </c>
      <c r="I424" s="43"/>
      <c r="J424" s="43"/>
      <c r="K424" s="41"/>
      <c r="L424" s="41"/>
      <c r="M424" s="41"/>
    </row>
    <row r="425" customFormat="false" ht="18" hidden="false" customHeight="true" outlineLevel="0" collapsed="false">
      <c r="A425" s="40" t="str">
        <f aca="false">IF(B425="","",ROW()-4)</f>
        <v/>
      </c>
      <c r="B425" s="41"/>
      <c r="C425" s="42"/>
      <c r="D425" s="42"/>
      <c r="E425" s="42"/>
      <c r="F425" s="43"/>
      <c r="G425" s="40" t="str">
        <f aca="true">IF(OR(F425="",E425="Done",E425="Cancelled"),"",F425-TODAY())</f>
        <v/>
      </c>
      <c r="H425" s="44" t="str">
        <f aca="false">IF(G425="","",IF(G425&lt;0,"OVERDUE",IF(G425=0,"DUE TODAY",IF(G425&lt;=3,"DUE SOON",""))))</f>
        <v/>
      </c>
      <c r="I425" s="43"/>
      <c r="J425" s="43"/>
      <c r="K425" s="41"/>
      <c r="L425" s="41"/>
      <c r="M425" s="41"/>
    </row>
    <row r="426" customFormat="false" ht="18" hidden="false" customHeight="true" outlineLevel="0" collapsed="false">
      <c r="A426" s="40" t="str">
        <f aca="false">IF(B426="","",ROW()-4)</f>
        <v/>
      </c>
      <c r="B426" s="41"/>
      <c r="C426" s="42"/>
      <c r="D426" s="42"/>
      <c r="E426" s="42"/>
      <c r="F426" s="43"/>
      <c r="G426" s="40" t="str">
        <f aca="true">IF(OR(F426="",E426="Done",E426="Cancelled"),"",F426-TODAY())</f>
        <v/>
      </c>
      <c r="H426" s="44" t="str">
        <f aca="false">IF(G426="","",IF(G426&lt;0,"OVERDUE",IF(G426=0,"DUE TODAY",IF(G426&lt;=3,"DUE SOON",""))))</f>
        <v/>
      </c>
      <c r="I426" s="43"/>
      <c r="J426" s="43"/>
      <c r="K426" s="41"/>
      <c r="L426" s="41"/>
      <c r="M426" s="41"/>
    </row>
    <row r="427" customFormat="false" ht="18" hidden="false" customHeight="true" outlineLevel="0" collapsed="false">
      <c r="A427" s="40" t="str">
        <f aca="false">IF(B427="","",ROW()-4)</f>
        <v/>
      </c>
      <c r="B427" s="41"/>
      <c r="C427" s="42"/>
      <c r="D427" s="42"/>
      <c r="E427" s="42"/>
      <c r="F427" s="43"/>
      <c r="G427" s="40" t="str">
        <f aca="true">IF(OR(F427="",E427="Done",E427="Cancelled"),"",F427-TODAY())</f>
        <v/>
      </c>
      <c r="H427" s="44" t="str">
        <f aca="false">IF(G427="","",IF(G427&lt;0,"OVERDUE",IF(G427=0,"DUE TODAY",IF(G427&lt;=3,"DUE SOON",""))))</f>
        <v/>
      </c>
      <c r="I427" s="43"/>
      <c r="J427" s="43"/>
      <c r="K427" s="41"/>
      <c r="L427" s="41"/>
      <c r="M427" s="41"/>
    </row>
    <row r="428" customFormat="false" ht="18" hidden="false" customHeight="true" outlineLevel="0" collapsed="false">
      <c r="A428" s="40" t="str">
        <f aca="false">IF(B428="","",ROW()-4)</f>
        <v/>
      </c>
      <c r="B428" s="41"/>
      <c r="C428" s="42"/>
      <c r="D428" s="42"/>
      <c r="E428" s="42"/>
      <c r="F428" s="43"/>
      <c r="G428" s="40" t="str">
        <f aca="true">IF(OR(F428="",E428="Done",E428="Cancelled"),"",F428-TODAY())</f>
        <v/>
      </c>
      <c r="H428" s="44" t="str">
        <f aca="false">IF(G428="","",IF(G428&lt;0,"OVERDUE",IF(G428=0,"DUE TODAY",IF(G428&lt;=3,"DUE SOON",""))))</f>
        <v/>
      </c>
      <c r="I428" s="43"/>
      <c r="J428" s="43"/>
      <c r="K428" s="41"/>
      <c r="L428" s="41"/>
      <c r="M428" s="41"/>
    </row>
    <row r="429" customFormat="false" ht="18" hidden="false" customHeight="true" outlineLevel="0" collapsed="false">
      <c r="A429" s="40" t="str">
        <f aca="false">IF(B429="","",ROW()-4)</f>
        <v/>
      </c>
      <c r="B429" s="41"/>
      <c r="C429" s="42"/>
      <c r="D429" s="42"/>
      <c r="E429" s="42"/>
      <c r="F429" s="43"/>
      <c r="G429" s="40" t="str">
        <f aca="true">IF(OR(F429="",E429="Done",E429="Cancelled"),"",F429-TODAY())</f>
        <v/>
      </c>
      <c r="H429" s="44" t="str">
        <f aca="false">IF(G429="","",IF(G429&lt;0,"OVERDUE",IF(G429=0,"DUE TODAY",IF(G429&lt;=3,"DUE SOON",""))))</f>
        <v/>
      </c>
      <c r="I429" s="43"/>
      <c r="J429" s="43"/>
      <c r="K429" s="41"/>
      <c r="L429" s="41"/>
      <c r="M429" s="41"/>
    </row>
    <row r="430" customFormat="false" ht="18" hidden="false" customHeight="true" outlineLevel="0" collapsed="false">
      <c r="A430" s="40" t="str">
        <f aca="false">IF(B430="","",ROW()-4)</f>
        <v/>
      </c>
      <c r="B430" s="41"/>
      <c r="C430" s="42"/>
      <c r="D430" s="42"/>
      <c r="E430" s="42"/>
      <c r="F430" s="43"/>
      <c r="G430" s="40" t="str">
        <f aca="true">IF(OR(F430="",E430="Done",E430="Cancelled"),"",F430-TODAY())</f>
        <v/>
      </c>
      <c r="H430" s="44" t="str">
        <f aca="false">IF(G430="","",IF(G430&lt;0,"OVERDUE",IF(G430=0,"DUE TODAY",IF(G430&lt;=3,"DUE SOON",""))))</f>
        <v/>
      </c>
      <c r="I430" s="43"/>
      <c r="J430" s="43"/>
      <c r="K430" s="41"/>
      <c r="L430" s="41"/>
      <c r="M430" s="41"/>
    </row>
    <row r="431" customFormat="false" ht="18" hidden="false" customHeight="true" outlineLevel="0" collapsed="false">
      <c r="A431" s="40" t="str">
        <f aca="false">IF(B431="","",ROW()-4)</f>
        <v/>
      </c>
      <c r="B431" s="41"/>
      <c r="C431" s="42"/>
      <c r="D431" s="42"/>
      <c r="E431" s="42"/>
      <c r="F431" s="43"/>
      <c r="G431" s="40" t="str">
        <f aca="true">IF(OR(F431="",E431="Done",E431="Cancelled"),"",F431-TODAY())</f>
        <v/>
      </c>
      <c r="H431" s="44" t="str">
        <f aca="false">IF(G431="","",IF(G431&lt;0,"OVERDUE",IF(G431=0,"DUE TODAY",IF(G431&lt;=3,"DUE SOON",""))))</f>
        <v/>
      </c>
      <c r="I431" s="43"/>
      <c r="J431" s="43"/>
      <c r="K431" s="41"/>
      <c r="L431" s="41"/>
      <c r="M431" s="41"/>
    </row>
    <row r="432" customFormat="false" ht="18" hidden="false" customHeight="true" outlineLevel="0" collapsed="false">
      <c r="A432" s="40" t="str">
        <f aca="false">IF(B432="","",ROW()-4)</f>
        <v/>
      </c>
      <c r="B432" s="41"/>
      <c r="C432" s="42"/>
      <c r="D432" s="42"/>
      <c r="E432" s="42"/>
      <c r="F432" s="43"/>
      <c r="G432" s="40" t="str">
        <f aca="true">IF(OR(F432="",E432="Done",E432="Cancelled"),"",F432-TODAY())</f>
        <v/>
      </c>
      <c r="H432" s="44" t="str">
        <f aca="false">IF(G432="","",IF(G432&lt;0,"OVERDUE",IF(G432=0,"DUE TODAY",IF(G432&lt;=3,"DUE SOON",""))))</f>
        <v/>
      </c>
      <c r="I432" s="43"/>
      <c r="J432" s="43"/>
      <c r="K432" s="41"/>
      <c r="L432" s="41"/>
      <c r="M432" s="41"/>
    </row>
    <row r="433" customFormat="false" ht="18" hidden="false" customHeight="true" outlineLevel="0" collapsed="false">
      <c r="A433" s="40" t="str">
        <f aca="false">IF(B433="","",ROW()-4)</f>
        <v/>
      </c>
      <c r="B433" s="41"/>
      <c r="C433" s="42"/>
      <c r="D433" s="42"/>
      <c r="E433" s="42"/>
      <c r="F433" s="43"/>
      <c r="G433" s="40" t="str">
        <f aca="true">IF(OR(F433="",E433="Done",E433="Cancelled"),"",F433-TODAY())</f>
        <v/>
      </c>
      <c r="H433" s="44" t="str">
        <f aca="false">IF(G433="","",IF(G433&lt;0,"OVERDUE",IF(G433=0,"DUE TODAY",IF(G433&lt;=3,"DUE SOON",""))))</f>
        <v/>
      </c>
      <c r="I433" s="43"/>
      <c r="J433" s="43"/>
      <c r="K433" s="41"/>
      <c r="L433" s="41"/>
      <c r="M433" s="41"/>
    </row>
    <row r="434" customFormat="false" ht="18" hidden="false" customHeight="true" outlineLevel="0" collapsed="false">
      <c r="A434" s="40" t="str">
        <f aca="false">IF(B434="","",ROW()-4)</f>
        <v/>
      </c>
      <c r="B434" s="41"/>
      <c r="C434" s="42"/>
      <c r="D434" s="42"/>
      <c r="E434" s="42"/>
      <c r="F434" s="43"/>
      <c r="G434" s="40" t="str">
        <f aca="true">IF(OR(F434="",E434="Done",E434="Cancelled"),"",F434-TODAY())</f>
        <v/>
      </c>
      <c r="H434" s="44" t="str">
        <f aca="false">IF(G434="","",IF(G434&lt;0,"OVERDUE",IF(G434=0,"DUE TODAY",IF(G434&lt;=3,"DUE SOON",""))))</f>
        <v/>
      </c>
      <c r="I434" s="43"/>
      <c r="J434" s="43"/>
      <c r="K434" s="41"/>
      <c r="L434" s="41"/>
      <c r="M434" s="41"/>
    </row>
    <row r="435" customFormat="false" ht="18" hidden="false" customHeight="true" outlineLevel="0" collapsed="false">
      <c r="A435" s="40" t="str">
        <f aca="false">IF(B435="","",ROW()-4)</f>
        <v/>
      </c>
      <c r="B435" s="41"/>
      <c r="C435" s="42"/>
      <c r="D435" s="42"/>
      <c r="E435" s="42"/>
      <c r="F435" s="43"/>
      <c r="G435" s="40" t="str">
        <f aca="true">IF(OR(F435="",E435="Done",E435="Cancelled"),"",F435-TODAY())</f>
        <v/>
      </c>
      <c r="H435" s="44" t="str">
        <f aca="false">IF(G435="","",IF(G435&lt;0,"OVERDUE",IF(G435=0,"DUE TODAY",IF(G435&lt;=3,"DUE SOON",""))))</f>
        <v/>
      </c>
      <c r="I435" s="43"/>
      <c r="J435" s="43"/>
      <c r="K435" s="41"/>
      <c r="L435" s="41"/>
      <c r="M435" s="41"/>
    </row>
    <row r="436" customFormat="false" ht="18" hidden="false" customHeight="true" outlineLevel="0" collapsed="false">
      <c r="A436" s="40" t="str">
        <f aca="false">IF(B436="","",ROW()-4)</f>
        <v/>
      </c>
      <c r="B436" s="41"/>
      <c r="C436" s="42"/>
      <c r="D436" s="42"/>
      <c r="E436" s="42"/>
      <c r="F436" s="43"/>
      <c r="G436" s="40" t="str">
        <f aca="true">IF(OR(F436="",E436="Done",E436="Cancelled"),"",F436-TODAY())</f>
        <v/>
      </c>
      <c r="H436" s="44" t="str">
        <f aca="false">IF(G436="","",IF(G436&lt;0,"OVERDUE",IF(G436=0,"DUE TODAY",IF(G436&lt;=3,"DUE SOON",""))))</f>
        <v/>
      </c>
      <c r="I436" s="43"/>
      <c r="J436" s="43"/>
      <c r="K436" s="41"/>
      <c r="L436" s="41"/>
      <c r="M436" s="41"/>
    </row>
    <row r="437" customFormat="false" ht="18" hidden="false" customHeight="true" outlineLevel="0" collapsed="false">
      <c r="A437" s="40" t="str">
        <f aca="false">IF(B437="","",ROW()-4)</f>
        <v/>
      </c>
      <c r="B437" s="41"/>
      <c r="C437" s="42"/>
      <c r="D437" s="42"/>
      <c r="E437" s="42"/>
      <c r="F437" s="43"/>
      <c r="G437" s="40" t="str">
        <f aca="true">IF(OR(F437="",E437="Done",E437="Cancelled"),"",F437-TODAY())</f>
        <v/>
      </c>
      <c r="H437" s="44" t="str">
        <f aca="false">IF(G437="","",IF(G437&lt;0,"OVERDUE",IF(G437=0,"DUE TODAY",IF(G437&lt;=3,"DUE SOON",""))))</f>
        <v/>
      </c>
      <c r="I437" s="43"/>
      <c r="J437" s="43"/>
      <c r="K437" s="41"/>
      <c r="L437" s="41"/>
      <c r="M437" s="41"/>
    </row>
    <row r="438" customFormat="false" ht="18" hidden="false" customHeight="true" outlineLevel="0" collapsed="false">
      <c r="A438" s="40" t="str">
        <f aca="false">IF(B438="","",ROW()-4)</f>
        <v/>
      </c>
      <c r="B438" s="41"/>
      <c r="C438" s="42"/>
      <c r="D438" s="42"/>
      <c r="E438" s="42"/>
      <c r="F438" s="43"/>
      <c r="G438" s="40" t="str">
        <f aca="true">IF(OR(F438="",E438="Done",E438="Cancelled"),"",F438-TODAY())</f>
        <v/>
      </c>
      <c r="H438" s="44" t="str">
        <f aca="false">IF(G438="","",IF(G438&lt;0,"OVERDUE",IF(G438=0,"DUE TODAY",IF(G438&lt;=3,"DUE SOON",""))))</f>
        <v/>
      </c>
      <c r="I438" s="43"/>
      <c r="J438" s="43"/>
      <c r="K438" s="41"/>
      <c r="L438" s="41"/>
      <c r="M438" s="41"/>
    </row>
    <row r="439" customFormat="false" ht="18" hidden="false" customHeight="true" outlineLevel="0" collapsed="false">
      <c r="A439" s="40" t="str">
        <f aca="false">IF(B439="","",ROW()-4)</f>
        <v/>
      </c>
      <c r="B439" s="41"/>
      <c r="C439" s="42"/>
      <c r="D439" s="42"/>
      <c r="E439" s="42"/>
      <c r="F439" s="43"/>
      <c r="G439" s="40" t="str">
        <f aca="true">IF(OR(F439="",E439="Done",E439="Cancelled"),"",F439-TODAY())</f>
        <v/>
      </c>
      <c r="H439" s="44" t="str">
        <f aca="false">IF(G439="","",IF(G439&lt;0,"OVERDUE",IF(G439=0,"DUE TODAY",IF(G439&lt;=3,"DUE SOON",""))))</f>
        <v/>
      </c>
      <c r="I439" s="43"/>
      <c r="J439" s="43"/>
      <c r="K439" s="41"/>
      <c r="L439" s="41"/>
      <c r="M439" s="41"/>
    </row>
    <row r="440" customFormat="false" ht="18" hidden="false" customHeight="true" outlineLevel="0" collapsed="false">
      <c r="A440" s="40" t="str">
        <f aca="false">IF(B440="","",ROW()-4)</f>
        <v/>
      </c>
      <c r="B440" s="41"/>
      <c r="C440" s="42"/>
      <c r="D440" s="42"/>
      <c r="E440" s="42"/>
      <c r="F440" s="43"/>
      <c r="G440" s="40" t="str">
        <f aca="true">IF(OR(F440="",E440="Done",E440="Cancelled"),"",F440-TODAY())</f>
        <v/>
      </c>
      <c r="H440" s="44" t="str">
        <f aca="false">IF(G440="","",IF(G440&lt;0,"OVERDUE",IF(G440=0,"DUE TODAY",IF(G440&lt;=3,"DUE SOON",""))))</f>
        <v/>
      </c>
      <c r="I440" s="43"/>
      <c r="J440" s="43"/>
      <c r="K440" s="41"/>
      <c r="L440" s="41"/>
      <c r="M440" s="41"/>
    </row>
    <row r="441" customFormat="false" ht="18" hidden="false" customHeight="true" outlineLevel="0" collapsed="false">
      <c r="A441" s="40" t="str">
        <f aca="false">IF(B441="","",ROW()-4)</f>
        <v/>
      </c>
      <c r="B441" s="41"/>
      <c r="C441" s="42"/>
      <c r="D441" s="42"/>
      <c r="E441" s="42"/>
      <c r="F441" s="43"/>
      <c r="G441" s="40" t="str">
        <f aca="true">IF(OR(F441="",E441="Done",E441="Cancelled"),"",F441-TODAY())</f>
        <v/>
      </c>
      <c r="H441" s="44" t="str">
        <f aca="false">IF(G441="","",IF(G441&lt;0,"OVERDUE",IF(G441=0,"DUE TODAY",IF(G441&lt;=3,"DUE SOON",""))))</f>
        <v/>
      </c>
      <c r="I441" s="43"/>
      <c r="J441" s="43"/>
      <c r="K441" s="41"/>
      <c r="L441" s="41"/>
      <c r="M441" s="41"/>
    </row>
    <row r="442" customFormat="false" ht="18" hidden="false" customHeight="true" outlineLevel="0" collapsed="false">
      <c r="A442" s="40" t="str">
        <f aca="false">IF(B442="","",ROW()-4)</f>
        <v/>
      </c>
      <c r="B442" s="41"/>
      <c r="C442" s="42"/>
      <c r="D442" s="42"/>
      <c r="E442" s="42"/>
      <c r="F442" s="43"/>
      <c r="G442" s="40" t="str">
        <f aca="true">IF(OR(F442="",E442="Done",E442="Cancelled"),"",F442-TODAY())</f>
        <v/>
      </c>
      <c r="H442" s="44" t="str">
        <f aca="false">IF(G442="","",IF(G442&lt;0,"OVERDUE",IF(G442=0,"DUE TODAY",IF(G442&lt;=3,"DUE SOON",""))))</f>
        <v/>
      </c>
      <c r="I442" s="43"/>
      <c r="J442" s="43"/>
      <c r="K442" s="41"/>
      <c r="L442" s="41"/>
      <c r="M442" s="41"/>
    </row>
    <row r="443" customFormat="false" ht="18" hidden="false" customHeight="true" outlineLevel="0" collapsed="false">
      <c r="A443" s="40" t="str">
        <f aca="false">IF(B443="","",ROW()-4)</f>
        <v/>
      </c>
      <c r="B443" s="41"/>
      <c r="C443" s="42"/>
      <c r="D443" s="42"/>
      <c r="E443" s="42"/>
      <c r="F443" s="43"/>
      <c r="G443" s="40" t="str">
        <f aca="true">IF(OR(F443="",E443="Done",E443="Cancelled"),"",F443-TODAY())</f>
        <v/>
      </c>
      <c r="H443" s="44" t="str">
        <f aca="false">IF(G443="","",IF(G443&lt;0,"OVERDUE",IF(G443=0,"DUE TODAY",IF(G443&lt;=3,"DUE SOON",""))))</f>
        <v/>
      </c>
      <c r="I443" s="43"/>
      <c r="J443" s="43"/>
      <c r="K443" s="41"/>
      <c r="L443" s="41"/>
      <c r="M443" s="41"/>
    </row>
    <row r="444" customFormat="false" ht="18" hidden="false" customHeight="true" outlineLevel="0" collapsed="false">
      <c r="A444" s="40" t="str">
        <f aca="false">IF(B444="","",ROW()-4)</f>
        <v/>
      </c>
      <c r="B444" s="41"/>
      <c r="C444" s="42"/>
      <c r="D444" s="42"/>
      <c r="E444" s="42"/>
      <c r="F444" s="43"/>
      <c r="G444" s="40" t="str">
        <f aca="true">IF(OR(F444="",E444="Done",E444="Cancelled"),"",F444-TODAY())</f>
        <v/>
      </c>
      <c r="H444" s="44" t="str">
        <f aca="false">IF(G444="","",IF(G444&lt;0,"OVERDUE",IF(G444=0,"DUE TODAY",IF(G444&lt;=3,"DUE SOON",""))))</f>
        <v/>
      </c>
      <c r="I444" s="43"/>
      <c r="J444" s="43"/>
      <c r="K444" s="41"/>
      <c r="L444" s="41"/>
      <c r="M444" s="41"/>
    </row>
    <row r="445" customFormat="false" ht="18" hidden="false" customHeight="true" outlineLevel="0" collapsed="false">
      <c r="A445" s="40" t="str">
        <f aca="false">IF(B445="","",ROW()-4)</f>
        <v/>
      </c>
      <c r="B445" s="41"/>
      <c r="C445" s="42"/>
      <c r="D445" s="42"/>
      <c r="E445" s="42"/>
      <c r="F445" s="43"/>
      <c r="G445" s="40" t="str">
        <f aca="true">IF(OR(F445="",E445="Done",E445="Cancelled"),"",F445-TODAY())</f>
        <v/>
      </c>
      <c r="H445" s="44" t="str">
        <f aca="false">IF(G445="","",IF(G445&lt;0,"OVERDUE",IF(G445=0,"DUE TODAY",IF(G445&lt;=3,"DUE SOON",""))))</f>
        <v/>
      </c>
      <c r="I445" s="43"/>
      <c r="J445" s="43"/>
      <c r="K445" s="41"/>
      <c r="L445" s="41"/>
      <c r="M445" s="41"/>
    </row>
    <row r="446" customFormat="false" ht="18" hidden="false" customHeight="true" outlineLevel="0" collapsed="false">
      <c r="A446" s="40" t="str">
        <f aca="false">IF(B446="","",ROW()-4)</f>
        <v/>
      </c>
      <c r="B446" s="41"/>
      <c r="C446" s="42"/>
      <c r="D446" s="42"/>
      <c r="E446" s="42"/>
      <c r="F446" s="43"/>
      <c r="G446" s="40" t="str">
        <f aca="true">IF(OR(F446="",E446="Done",E446="Cancelled"),"",F446-TODAY())</f>
        <v/>
      </c>
      <c r="H446" s="44" t="str">
        <f aca="false">IF(G446="","",IF(G446&lt;0,"OVERDUE",IF(G446=0,"DUE TODAY",IF(G446&lt;=3,"DUE SOON",""))))</f>
        <v/>
      </c>
      <c r="I446" s="43"/>
      <c r="J446" s="43"/>
      <c r="K446" s="41"/>
      <c r="L446" s="41"/>
      <c r="M446" s="41"/>
    </row>
    <row r="447" customFormat="false" ht="18" hidden="false" customHeight="true" outlineLevel="0" collapsed="false">
      <c r="A447" s="40" t="str">
        <f aca="false">IF(B447="","",ROW()-4)</f>
        <v/>
      </c>
      <c r="B447" s="41"/>
      <c r="C447" s="42"/>
      <c r="D447" s="42"/>
      <c r="E447" s="42"/>
      <c r="F447" s="43"/>
      <c r="G447" s="40" t="str">
        <f aca="true">IF(OR(F447="",E447="Done",E447="Cancelled"),"",F447-TODAY())</f>
        <v/>
      </c>
      <c r="H447" s="44" t="str">
        <f aca="false">IF(G447="","",IF(G447&lt;0,"OVERDUE",IF(G447=0,"DUE TODAY",IF(G447&lt;=3,"DUE SOON",""))))</f>
        <v/>
      </c>
      <c r="I447" s="43"/>
      <c r="J447" s="43"/>
      <c r="K447" s="41"/>
      <c r="L447" s="41"/>
      <c r="M447" s="41"/>
    </row>
    <row r="448" customFormat="false" ht="18" hidden="false" customHeight="true" outlineLevel="0" collapsed="false">
      <c r="A448" s="40" t="str">
        <f aca="false">IF(B448="","",ROW()-4)</f>
        <v/>
      </c>
      <c r="B448" s="41"/>
      <c r="C448" s="42"/>
      <c r="D448" s="42"/>
      <c r="E448" s="42"/>
      <c r="F448" s="43"/>
      <c r="G448" s="40" t="str">
        <f aca="true">IF(OR(F448="",E448="Done",E448="Cancelled"),"",F448-TODAY())</f>
        <v/>
      </c>
      <c r="H448" s="44" t="str">
        <f aca="false">IF(G448="","",IF(G448&lt;0,"OVERDUE",IF(G448=0,"DUE TODAY",IF(G448&lt;=3,"DUE SOON",""))))</f>
        <v/>
      </c>
      <c r="I448" s="43"/>
      <c r="J448" s="43"/>
      <c r="K448" s="41"/>
      <c r="L448" s="41"/>
      <c r="M448" s="41"/>
    </row>
    <row r="449" customFormat="false" ht="18" hidden="false" customHeight="true" outlineLevel="0" collapsed="false">
      <c r="A449" s="40" t="str">
        <f aca="false">IF(B449="","",ROW()-4)</f>
        <v/>
      </c>
      <c r="B449" s="41"/>
      <c r="C449" s="42"/>
      <c r="D449" s="42"/>
      <c r="E449" s="42"/>
      <c r="F449" s="43"/>
      <c r="G449" s="40" t="str">
        <f aca="true">IF(OR(F449="",E449="Done",E449="Cancelled"),"",F449-TODAY())</f>
        <v/>
      </c>
      <c r="H449" s="44" t="str">
        <f aca="false">IF(G449="","",IF(G449&lt;0,"OVERDUE",IF(G449=0,"DUE TODAY",IF(G449&lt;=3,"DUE SOON",""))))</f>
        <v/>
      </c>
      <c r="I449" s="43"/>
      <c r="J449" s="43"/>
      <c r="K449" s="41"/>
      <c r="L449" s="41"/>
      <c r="M449" s="41"/>
    </row>
    <row r="450" customFormat="false" ht="18" hidden="false" customHeight="true" outlineLevel="0" collapsed="false">
      <c r="A450" s="40" t="str">
        <f aca="false">IF(B450="","",ROW()-4)</f>
        <v/>
      </c>
      <c r="B450" s="41"/>
      <c r="C450" s="42"/>
      <c r="D450" s="42"/>
      <c r="E450" s="42"/>
      <c r="F450" s="43"/>
      <c r="G450" s="40" t="str">
        <f aca="true">IF(OR(F450="",E450="Done",E450="Cancelled"),"",F450-TODAY())</f>
        <v/>
      </c>
      <c r="H450" s="44" t="str">
        <f aca="false">IF(G450="","",IF(G450&lt;0,"OVERDUE",IF(G450=0,"DUE TODAY",IF(G450&lt;=3,"DUE SOON",""))))</f>
        <v/>
      </c>
      <c r="I450" s="43"/>
      <c r="J450" s="43"/>
      <c r="K450" s="41"/>
      <c r="L450" s="41"/>
      <c r="M450" s="41"/>
    </row>
    <row r="451" customFormat="false" ht="18" hidden="false" customHeight="true" outlineLevel="0" collapsed="false">
      <c r="A451" s="40" t="str">
        <f aca="false">IF(B451="","",ROW()-4)</f>
        <v/>
      </c>
      <c r="B451" s="41"/>
      <c r="C451" s="42"/>
      <c r="D451" s="42"/>
      <c r="E451" s="42"/>
      <c r="F451" s="43"/>
      <c r="G451" s="40" t="str">
        <f aca="true">IF(OR(F451="",E451="Done",E451="Cancelled"),"",F451-TODAY())</f>
        <v/>
      </c>
      <c r="H451" s="44" t="str">
        <f aca="false">IF(G451="","",IF(G451&lt;0,"OVERDUE",IF(G451=0,"DUE TODAY",IF(G451&lt;=3,"DUE SOON",""))))</f>
        <v/>
      </c>
      <c r="I451" s="43"/>
      <c r="J451" s="43"/>
      <c r="K451" s="41"/>
      <c r="L451" s="41"/>
      <c r="M451" s="41"/>
    </row>
    <row r="452" customFormat="false" ht="18" hidden="false" customHeight="true" outlineLevel="0" collapsed="false">
      <c r="A452" s="40" t="str">
        <f aca="false">IF(B452="","",ROW()-4)</f>
        <v/>
      </c>
      <c r="B452" s="41"/>
      <c r="C452" s="42"/>
      <c r="D452" s="42"/>
      <c r="E452" s="42"/>
      <c r="F452" s="43"/>
      <c r="G452" s="40" t="str">
        <f aca="true">IF(OR(F452="",E452="Done",E452="Cancelled"),"",F452-TODAY())</f>
        <v/>
      </c>
      <c r="H452" s="44" t="str">
        <f aca="false">IF(G452="","",IF(G452&lt;0,"OVERDUE",IF(G452=0,"DUE TODAY",IF(G452&lt;=3,"DUE SOON",""))))</f>
        <v/>
      </c>
      <c r="I452" s="43"/>
      <c r="J452" s="43"/>
      <c r="K452" s="41"/>
      <c r="L452" s="41"/>
      <c r="M452" s="41"/>
    </row>
    <row r="453" customFormat="false" ht="18" hidden="false" customHeight="true" outlineLevel="0" collapsed="false">
      <c r="A453" s="40" t="str">
        <f aca="false">IF(B453="","",ROW()-4)</f>
        <v/>
      </c>
      <c r="B453" s="41"/>
      <c r="C453" s="42"/>
      <c r="D453" s="42"/>
      <c r="E453" s="42"/>
      <c r="F453" s="43"/>
      <c r="G453" s="40" t="str">
        <f aca="true">IF(OR(F453="",E453="Done",E453="Cancelled"),"",F453-TODAY())</f>
        <v/>
      </c>
      <c r="H453" s="44" t="str">
        <f aca="false">IF(G453="","",IF(G453&lt;0,"OVERDUE",IF(G453=0,"DUE TODAY",IF(G453&lt;=3,"DUE SOON",""))))</f>
        <v/>
      </c>
      <c r="I453" s="43"/>
      <c r="J453" s="43"/>
      <c r="K453" s="41"/>
      <c r="L453" s="41"/>
      <c r="M453" s="41"/>
    </row>
    <row r="454" customFormat="false" ht="18" hidden="false" customHeight="true" outlineLevel="0" collapsed="false">
      <c r="A454" s="40" t="str">
        <f aca="false">IF(B454="","",ROW()-4)</f>
        <v/>
      </c>
      <c r="B454" s="41"/>
      <c r="C454" s="42"/>
      <c r="D454" s="42"/>
      <c r="E454" s="42"/>
      <c r="F454" s="43"/>
      <c r="G454" s="40" t="str">
        <f aca="true">IF(OR(F454="",E454="Done",E454="Cancelled"),"",F454-TODAY())</f>
        <v/>
      </c>
      <c r="H454" s="44" t="str">
        <f aca="false">IF(G454="","",IF(G454&lt;0,"OVERDUE",IF(G454=0,"DUE TODAY",IF(G454&lt;=3,"DUE SOON",""))))</f>
        <v/>
      </c>
      <c r="I454" s="43"/>
      <c r="J454" s="43"/>
      <c r="K454" s="41"/>
      <c r="L454" s="41"/>
      <c r="M454" s="41"/>
    </row>
    <row r="455" customFormat="false" ht="18" hidden="false" customHeight="true" outlineLevel="0" collapsed="false">
      <c r="A455" s="40" t="str">
        <f aca="false">IF(B455="","",ROW()-4)</f>
        <v/>
      </c>
      <c r="B455" s="41"/>
      <c r="C455" s="42"/>
      <c r="D455" s="42"/>
      <c r="E455" s="42"/>
      <c r="F455" s="43"/>
      <c r="G455" s="40" t="str">
        <f aca="true">IF(OR(F455="",E455="Done",E455="Cancelled"),"",F455-TODAY())</f>
        <v/>
      </c>
      <c r="H455" s="44" t="str">
        <f aca="false">IF(G455="","",IF(G455&lt;0,"OVERDUE",IF(G455=0,"DUE TODAY",IF(G455&lt;=3,"DUE SOON",""))))</f>
        <v/>
      </c>
      <c r="I455" s="43"/>
      <c r="J455" s="43"/>
      <c r="K455" s="41"/>
      <c r="L455" s="41"/>
      <c r="M455" s="41"/>
    </row>
    <row r="456" customFormat="false" ht="18" hidden="false" customHeight="true" outlineLevel="0" collapsed="false">
      <c r="A456" s="40" t="str">
        <f aca="false">IF(B456="","",ROW()-4)</f>
        <v/>
      </c>
      <c r="B456" s="41"/>
      <c r="C456" s="42"/>
      <c r="D456" s="42"/>
      <c r="E456" s="42"/>
      <c r="F456" s="43"/>
      <c r="G456" s="40" t="str">
        <f aca="true">IF(OR(F456="",E456="Done",E456="Cancelled"),"",F456-TODAY())</f>
        <v/>
      </c>
      <c r="H456" s="44" t="str">
        <f aca="false">IF(G456="","",IF(G456&lt;0,"OVERDUE",IF(G456=0,"DUE TODAY",IF(G456&lt;=3,"DUE SOON",""))))</f>
        <v/>
      </c>
      <c r="I456" s="43"/>
      <c r="J456" s="43"/>
      <c r="K456" s="41"/>
      <c r="L456" s="41"/>
      <c r="M456" s="41"/>
    </row>
    <row r="457" customFormat="false" ht="18" hidden="false" customHeight="true" outlineLevel="0" collapsed="false">
      <c r="A457" s="40" t="str">
        <f aca="false">IF(B457="","",ROW()-4)</f>
        <v/>
      </c>
      <c r="B457" s="41"/>
      <c r="C457" s="42"/>
      <c r="D457" s="42"/>
      <c r="E457" s="42"/>
      <c r="F457" s="43"/>
      <c r="G457" s="40" t="str">
        <f aca="true">IF(OR(F457="",E457="Done",E457="Cancelled"),"",F457-TODAY())</f>
        <v/>
      </c>
      <c r="H457" s="44" t="str">
        <f aca="false">IF(G457="","",IF(G457&lt;0,"OVERDUE",IF(G457=0,"DUE TODAY",IF(G457&lt;=3,"DUE SOON",""))))</f>
        <v/>
      </c>
      <c r="I457" s="43"/>
      <c r="J457" s="43"/>
      <c r="K457" s="41"/>
      <c r="L457" s="41"/>
      <c r="M457" s="41"/>
    </row>
    <row r="458" customFormat="false" ht="18" hidden="false" customHeight="true" outlineLevel="0" collapsed="false">
      <c r="A458" s="40" t="str">
        <f aca="false">IF(B458="","",ROW()-4)</f>
        <v/>
      </c>
      <c r="B458" s="41"/>
      <c r="C458" s="42"/>
      <c r="D458" s="42"/>
      <c r="E458" s="42"/>
      <c r="F458" s="43"/>
      <c r="G458" s="40" t="str">
        <f aca="true">IF(OR(F458="",E458="Done",E458="Cancelled"),"",F458-TODAY())</f>
        <v/>
      </c>
      <c r="H458" s="44" t="str">
        <f aca="false">IF(G458="","",IF(G458&lt;0,"OVERDUE",IF(G458=0,"DUE TODAY",IF(G458&lt;=3,"DUE SOON",""))))</f>
        <v/>
      </c>
      <c r="I458" s="43"/>
      <c r="J458" s="43"/>
      <c r="K458" s="41"/>
      <c r="L458" s="41"/>
      <c r="M458" s="41"/>
    </row>
    <row r="459" customFormat="false" ht="18" hidden="false" customHeight="true" outlineLevel="0" collapsed="false">
      <c r="A459" s="40" t="str">
        <f aca="false">IF(B459="","",ROW()-4)</f>
        <v/>
      </c>
      <c r="B459" s="41"/>
      <c r="C459" s="42"/>
      <c r="D459" s="42"/>
      <c r="E459" s="42"/>
      <c r="F459" s="43"/>
      <c r="G459" s="40" t="str">
        <f aca="true">IF(OR(F459="",E459="Done",E459="Cancelled"),"",F459-TODAY())</f>
        <v/>
      </c>
      <c r="H459" s="44" t="str">
        <f aca="false">IF(G459="","",IF(G459&lt;0,"OVERDUE",IF(G459=0,"DUE TODAY",IF(G459&lt;=3,"DUE SOON",""))))</f>
        <v/>
      </c>
      <c r="I459" s="43"/>
      <c r="J459" s="43"/>
      <c r="K459" s="41"/>
      <c r="L459" s="41"/>
      <c r="M459" s="41"/>
    </row>
    <row r="460" customFormat="false" ht="18" hidden="false" customHeight="true" outlineLevel="0" collapsed="false">
      <c r="A460" s="40" t="str">
        <f aca="false">IF(B460="","",ROW()-4)</f>
        <v/>
      </c>
      <c r="B460" s="41"/>
      <c r="C460" s="42"/>
      <c r="D460" s="42"/>
      <c r="E460" s="42"/>
      <c r="F460" s="43"/>
      <c r="G460" s="40" t="str">
        <f aca="true">IF(OR(F460="",E460="Done",E460="Cancelled"),"",F460-TODAY())</f>
        <v/>
      </c>
      <c r="H460" s="44" t="str">
        <f aca="false">IF(G460="","",IF(G460&lt;0,"OVERDUE",IF(G460=0,"DUE TODAY",IF(G460&lt;=3,"DUE SOON",""))))</f>
        <v/>
      </c>
      <c r="I460" s="43"/>
      <c r="J460" s="43"/>
      <c r="K460" s="41"/>
      <c r="L460" s="41"/>
      <c r="M460" s="41"/>
    </row>
    <row r="461" customFormat="false" ht="18" hidden="false" customHeight="true" outlineLevel="0" collapsed="false">
      <c r="A461" s="40" t="str">
        <f aca="false">IF(B461="","",ROW()-4)</f>
        <v/>
      </c>
      <c r="B461" s="41"/>
      <c r="C461" s="42"/>
      <c r="D461" s="42"/>
      <c r="E461" s="42"/>
      <c r="F461" s="43"/>
      <c r="G461" s="40" t="str">
        <f aca="true">IF(OR(F461="",E461="Done",E461="Cancelled"),"",F461-TODAY())</f>
        <v/>
      </c>
      <c r="H461" s="44" t="str">
        <f aca="false">IF(G461="","",IF(G461&lt;0,"OVERDUE",IF(G461=0,"DUE TODAY",IF(G461&lt;=3,"DUE SOON",""))))</f>
        <v/>
      </c>
      <c r="I461" s="43"/>
      <c r="J461" s="43"/>
      <c r="K461" s="41"/>
      <c r="L461" s="41"/>
      <c r="M461" s="41"/>
    </row>
    <row r="462" customFormat="false" ht="18" hidden="false" customHeight="true" outlineLevel="0" collapsed="false">
      <c r="A462" s="40" t="str">
        <f aca="false">IF(B462="","",ROW()-4)</f>
        <v/>
      </c>
      <c r="B462" s="41"/>
      <c r="C462" s="42"/>
      <c r="D462" s="42"/>
      <c r="E462" s="42"/>
      <c r="F462" s="43"/>
      <c r="G462" s="40" t="str">
        <f aca="true">IF(OR(F462="",E462="Done",E462="Cancelled"),"",F462-TODAY())</f>
        <v/>
      </c>
      <c r="H462" s="44" t="str">
        <f aca="false">IF(G462="","",IF(G462&lt;0,"OVERDUE",IF(G462=0,"DUE TODAY",IF(G462&lt;=3,"DUE SOON",""))))</f>
        <v/>
      </c>
      <c r="I462" s="43"/>
      <c r="J462" s="43"/>
      <c r="K462" s="41"/>
      <c r="L462" s="41"/>
      <c r="M462" s="41"/>
    </row>
    <row r="463" customFormat="false" ht="18" hidden="false" customHeight="true" outlineLevel="0" collapsed="false">
      <c r="A463" s="40" t="str">
        <f aca="false">IF(B463="","",ROW()-4)</f>
        <v/>
      </c>
      <c r="B463" s="41"/>
      <c r="C463" s="42"/>
      <c r="D463" s="42"/>
      <c r="E463" s="42"/>
      <c r="F463" s="43"/>
      <c r="G463" s="40" t="str">
        <f aca="true">IF(OR(F463="",E463="Done",E463="Cancelled"),"",F463-TODAY())</f>
        <v/>
      </c>
      <c r="H463" s="44" t="str">
        <f aca="false">IF(G463="","",IF(G463&lt;0,"OVERDUE",IF(G463=0,"DUE TODAY",IF(G463&lt;=3,"DUE SOON",""))))</f>
        <v/>
      </c>
      <c r="I463" s="43"/>
      <c r="J463" s="43"/>
      <c r="K463" s="41"/>
      <c r="L463" s="41"/>
      <c r="M463" s="41"/>
    </row>
    <row r="464" customFormat="false" ht="18" hidden="false" customHeight="true" outlineLevel="0" collapsed="false">
      <c r="A464" s="40" t="str">
        <f aca="false">IF(B464="","",ROW()-4)</f>
        <v/>
      </c>
      <c r="B464" s="41"/>
      <c r="C464" s="42"/>
      <c r="D464" s="42"/>
      <c r="E464" s="42"/>
      <c r="F464" s="43"/>
      <c r="G464" s="40" t="str">
        <f aca="true">IF(OR(F464="",E464="Done",E464="Cancelled"),"",F464-TODAY())</f>
        <v/>
      </c>
      <c r="H464" s="44" t="str">
        <f aca="false">IF(G464="","",IF(G464&lt;0,"OVERDUE",IF(G464=0,"DUE TODAY",IF(G464&lt;=3,"DUE SOON",""))))</f>
        <v/>
      </c>
      <c r="I464" s="43"/>
      <c r="J464" s="43"/>
      <c r="K464" s="41"/>
      <c r="L464" s="41"/>
      <c r="M464" s="41"/>
    </row>
    <row r="465" customFormat="false" ht="18" hidden="false" customHeight="true" outlineLevel="0" collapsed="false">
      <c r="A465" s="40" t="str">
        <f aca="false">IF(B465="","",ROW()-4)</f>
        <v/>
      </c>
      <c r="B465" s="41"/>
      <c r="C465" s="42"/>
      <c r="D465" s="42"/>
      <c r="E465" s="42"/>
      <c r="F465" s="43"/>
      <c r="G465" s="40" t="str">
        <f aca="true">IF(OR(F465="",E465="Done",E465="Cancelled"),"",F465-TODAY())</f>
        <v/>
      </c>
      <c r="H465" s="44" t="str">
        <f aca="false">IF(G465="","",IF(G465&lt;0,"OVERDUE",IF(G465=0,"DUE TODAY",IF(G465&lt;=3,"DUE SOON",""))))</f>
        <v/>
      </c>
      <c r="I465" s="43"/>
      <c r="J465" s="43"/>
      <c r="K465" s="41"/>
      <c r="L465" s="41"/>
      <c r="M465" s="41"/>
    </row>
    <row r="466" customFormat="false" ht="18" hidden="false" customHeight="true" outlineLevel="0" collapsed="false">
      <c r="A466" s="40" t="str">
        <f aca="false">IF(B466="","",ROW()-4)</f>
        <v/>
      </c>
      <c r="B466" s="41"/>
      <c r="C466" s="42"/>
      <c r="D466" s="42"/>
      <c r="E466" s="42"/>
      <c r="F466" s="43"/>
      <c r="G466" s="40" t="str">
        <f aca="true">IF(OR(F466="",E466="Done",E466="Cancelled"),"",F466-TODAY())</f>
        <v/>
      </c>
      <c r="H466" s="44" t="str">
        <f aca="false">IF(G466="","",IF(G466&lt;0,"OVERDUE",IF(G466=0,"DUE TODAY",IF(G466&lt;=3,"DUE SOON",""))))</f>
        <v/>
      </c>
      <c r="I466" s="43"/>
      <c r="J466" s="43"/>
      <c r="K466" s="41"/>
      <c r="L466" s="41"/>
      <c r="M466" s="41"/>
    </row>
    <row r="467" customFormat="false" ht="18" hidden="false" customHeight="true" outlineLevel="0" collapsed="false">
      <c r="A467" s="40" t="str">
        <f aca="false">IF(B467="","",ROW()-4)</f>
        <v/>
      </c>
      <c r="B467" s="41"/>
      <c r="C467" s="42"/>
      <c r="D467" s="42"/>
      <c r="E467" s="42"/>
      <c r="F467" s="43"/>
      <c r="G467" s="40" t="str">
        <f aca="true">IF(OR(F467="",E467="Done",E467="Cancelled"),"",F467-TODAY())</f>
        <v/>
      </c>
      <c r="H467" s="44" t="str">
        <f aca="false">IF(G467="","",IF(G467&lt;0,"OVERDUE",IF(G467=0,"DUE TODAY",IF(G467&lt;=3,"DUE SOON",""))))</f>
        <v/>
      </c>
      <c r="I467" s="43"/>
      <c r="J467" s="43"/>
      <c r="K467" s="41"/>
      <c r="L467" s="41"/>
      <c r="M467" s="41"/>
    </row>
    <row r="468" customFormat="false" ht="18" hidden="false" customHeight="true" outlineLevel="0" collapsed="false">
      <c r="A468" s="40" t="str">
        <f aca="false">IF(B468="","",ROW()-4)</f>
        <v/>
      </c>
      <c r="B468" s="41"/>
      <c r="C468" s="42"/>
      <c r="D468" s="42"/>
      <c r="E468" s="42"/>
      <c r="F468" s="43"/>
      <c r="G468" s="40" t="str">
        <f aca="true">IF(OR(F468="",E468="Done",E468="Cancelled"),"",F468-TODAY())</f>
        <v/>
      </c>
      <c r="H468" s="44" t="str">
        <f aca="false">IF(G468="","",IF(G468&lt;0,"OVERDUE",IF(G468=0,"DUE TODAY",IF(G468&lt;=3,"DUE SOON",""))))</f>
        <v/>
      </c>
      <c r="I468" s="43"/>
      <c r="J468" s="43"/>
      <c r="K468" s="41"/>
      <c r="L468" s="41"/>
      <c r="M468" s="41"/>
    </row>
    <row r="469" customFormat="false" ht="18" hidden="false" customHeight="true" outlineLevel="0" collapsed="false">
      <c r="A469" s="40" t="str">
        <f aca="false">IF(B469="","",ROW()-4)</f>
        <v/>
      </c>
      <c r="B469" s="41"/>
      <c r="C469" s="42"/>
      <c r="D469" s="42"/>
      <c r="E469" s="42"/>
      <c r="F469" s="43"/>
      <c r="G469" s="40" t="str">
        <f aca="true">IF(OR(F469="",E469="Done",E469="Cancelled"),"",F469-TODAY())</f>
        <v/>
      </c>
      <c r="H469" s="44" t="str">
        <f aca="false">IF(G469="","",IF(G469&lt;0,"OVERDUE",IF(G469=0,"DUE TODAY",IF(G469&lt;=3,"DUE SOON",""))))</f>
        <v/>
      </c>
      <c r="I469" s="43"/>
      <c r="J469" s="43"/>
      <c r="K469" s="41"/>
      <c r="L469" s="41"/>
      <c r="M469" s="41"/>
    </row>
    <row r="470" customFormat="false" ht="18" hidden="false" customHeight="true" outlineLevel="0" collapsed="false">
      <c r="A470" s="40" t="str">
        <f aca="false">IF(B470="","",ROW()-4)</f>
        <v/>
      </c>
      <c r="B470" s="41"/>
      <c r="C470" s="42"/>
      <c r="D470" s="42"/>
      <c r="E470" s="42"/>
      <c r="F470" s="43"/>
      <c r="G470" s="40" t="str">
        <f aca="true">IF(OR(F470="",E470="Done",E470="Cancelled"),"",F470-TODAY())</f>
        <v/>
      </c>
      <c r="H470" s="44" t="str">
        <f aca="false">IF(G470="","",IF(G470&lt;0,"OVERDUE",IF(G470=0,"DUE TODAY",IF(G470&lt;=3,"DUE SOON",""))))</f>
        <v/>
      </c>
      <c r="I470" s="43"/>
      <c r="J470" s="43"/>
      <c r="K470" s="41"/>
      <c r="L470" s="41"/>
      <c r="M470" s="41"/>
    </row>
    <row r="471" customFormat="false" ht="18" hidden="false" customHeight="true" outlineLevel="0" collapsed="false">
      <c r="A471" s="40" t="str">
        <f aca="false">IF(B471="","",ROW()-4)</f>
        <v/>
      </c>
      <c r="B471" s="41"/>
      <c r="C471" s="42"/>
      <c r="D471" s="42"/>
      <c r="E471" s="42"/>
      <c r="F471" s="43"/>
      <c r="G471" s="40" t="str">
        <f aca="true">IF(OR(F471="",E471="Done",E471="Cancelled"),"",F471-TODAY())</f>
        <v/>
      </c>
      <c r="H471" s="44" t="str">
        <f aca="false">IF(G471="","",IF(G471&lt;0,"OVERDUE",IF(G471=0,"DUE TODAY",IF(G471&lt;=3,"DUE SOON",""))))</f>
        <v/>
      </c>
      <c r="I471" s="43"/>
      <c r="J471" s="43"/>
      <c r="K471" s="41"/>
      <c r="L471" s="41"/>
      <c r="M471" s="41"/>
    </row>
    <row r="472" customFormat="false" ht="18" hidden="false" customHeight="true" outlineLevel="0" collapsed="false">
      <c r="A472" s="40" t="str">
        <f aca="false">IF(B472="","",ROW()-4)</f>
        <v/>
      </c>
      <c r="B472" s="41"/>
      <c r="C472" s="42"/>
      <c r="D472" s="42"/>
      <c r="E472" s="42"/>
      <c r="F472" s="43"/>
      <c r="G472" s="40" t="str">
        <f aca="true">IF(OR(F472="",E472="Done",E472="Cancelled"),"",F472-TODAY())</f>
        <v/>
      </c>
      <c r="H472" s="44" t="str">
        <f aca="false">IF(G472="","",IF(G472&lt;0,"OVERDUE",IF(G472=0,"DUE TODAY",IF(G472&lt;=3,"DUE SOON",""))))</f>
        <v/>
      </c>
      <c r="I472" s="43"/>
      <c r="J472" s="43"/>
      <c r="K472" s="41"/>
      <c r="L472" s="41"/>
      <c r="M472" s="41"/>
    </row>
    <row r="473" customFormat="false" ht="18" hidden="false" customHeight="true" outlineLevel="0" collapsed="false">
      <c r="A473" s="40" t="str">
        <f aca="false">IF(B473="","",ROW()-4)</f>
        <v/>
      </c>
      <c r="B473" s="41"/>
      <c r="C473" s="42"/>
      <c r="D473" s="42"/>
      <c r="E473" s="42"/>
      <c r="F473" s="43"/>
      <c r="G473" s="40" t="str">
        <f aca="true">IF(OR(F473="",E473="Done",E473="Cancelled"),"",F473-TODAY())</f>
        <v/>
      </c>
      <c r="H473" s="44" t="str">
        <f aca="false">IF(G473="","",IF(G473&lt;0,"OVERDUE",IF(G473=0,"DUE TODAY",IF(G473&lt;=3,"DUE SOON",""))))</f>
        <v/>
      </c>
      <c r="I473" s="43"/>
      <c r="J473" s="43"/>
      <c r="K473" s="41"/>
      <c r="L473" s="41"/>
      <c r="M473" s="41"/>
    </row>
    <row r="474" customFormat="false" ht="18" hidden="false" customHeight="true" outlineLevel="0" collapsed="false">
      <c r="A474" s="40" t="str">
        <f aca="false">IF(B474="","",ROW()-4)</f>
        <v/>
      </c>
      <c r="B474" s="41"/>
      <c r="C474" s="42"/>
      <c r="D474" s="42"/>
      <c r="E474" s="42"/>
      <c r="F474" s="43"/>
      <c r="G474" s="40" t="str">
        <f aca="true">IF(OR(F474="",E474="Done",E474="Cancelled"),"",F474-TODAY())</f>
        <v/>
      </c>
      <c r="H474" s="44" t="str">
        <f aca="false">IF(G474="","",IF(G474&lt;0,"OVERDUE",IF(G474=0,"DUE TODAY",IF(G474&lt;=3,"DUE SOON",""))))</f>
        <v/>
      </c>
      <c r="I474" s="43"/>
      <c r="J474" s="43"/>
      <c r="K474" s="41"/>
      <c r="L474" s="41"/>
      <c r="M474" s="41"/>
    </row>
    <row r="475" customFormat="false" ht="18" hidden="false" customHeight="true" outlineLevel="0" collapsed="false">
      <c r="A475" s="40" t="str">
        <f aca="false">IF(B475="","",ROW()-4)</f>
        <v/>
      </c>
      <c r="B475" s="41"/>
      <c r="C475" s="42"/>
      <c r="D475" s="42"/>
      <c r="E475" s="42"/>
      <c r="F475" s="43"/>
      <c r="G475" s="40" t="str">
        <f aca="true">IF(OR(F475="",E475="Done",E475="Cancelled"),"",F475-TODAY())</f>
        <v/>
      </c>
      <c r="H475" s="44" t="str">
        <f aca="false">IF(G475="","",IF(G475&lt;0,"OVERDUE",IF(G475=0,"DUE TODAY",IF(G475&lt;=3,"DUE SOON",""))))</f>
        <v/>
      </c>
      <c r="I475" s="43"/>
      <c r="J475" s="43"/>
      <c r="K475" s="41"/>
      <c r="L475" s="41"/>
      <c r="M475" s="41"/>
    </row>
    <row r="476" customFormat="false" ht="18" hidden="false" customHeight="true" outlineLevel="0" collapsed="false">
      <c r="A476" s="40" t="str">
        <f aca="false">IF(B476="","",ROW()-4)</f>
        <v/>
      </c>
      <c r="B476" s="41"/>
      <c r="C476" s="42"/>
      <c r="D476" s="42"/>
      <c r="E476" s="42"/>
      <c r="F476" s="43"/>
      <c r="G476" s="40" t="str">
        <f aca="true">IF(OR(F476="",E476="Done",E476="Cancelled"),"",F476-TODAY())</f>
        <v/>
      </c>
      <c r="H476" s="44" t="str">
        <f aca="false">IF(G476="","",IF(G476&lt;0,"OVERDUE",IF(G476=0,"DUE TODAY",IF(G476&lt;=3,"DUE SOON",""))))</f>
        <v/>
      </c>
      <c r="I476" s="43"/>
      <c r="J476" s="43"/>
      <c r="K476" s="41"/>
      <c r="L476" s="41"/>
      <c r="M476" s="41"/>
    </row>
    <row r="477" customFormat="false" ht="18" hidden="false" customHeight="true" outlineLevel="0" collapsed="false">
      <c r="A477" s="40" t="str">
        <f aca="false">IF(B477="","",ROW()-4)</f>
        <v/>
      </c>
      <c r="B477" s="41"/>
      <c r="C477" s="42"/>
      <c r="D477" s="42"/>
      <c r="E477" s="42"/>
      <c r="F477" s="43"/>
      <c r="G477" s="40" t="str">
        <f aca="true">IF(OR(F477="",E477="Done",E477="Cancelled"),"",F477-TODAY())</f>
        <v/>
      </c>
      <c r="H477" s="44" t="str">
        <f aca="false">IF(G477="","",IF(G477&lt;0,"OVERDUE",IF(G477=0,"DUE TODAY",IF(G477&lt;=3,"DUE SOON",""))))</f>
        <v/>
      </c>
      <c r="I477" s="43"/>
      <c r="J477" s="43"/>
      <c r="K477" s="41"/>
      <c r="L477" s="41"/>
      <c r="M477" s="41"/>
    </row>
    <row r="478" customFormat="false" ht="18" hidden="false" customHeight="true" outlineLevel="0" collapsed="false">
      <c r="A478" s="40" t="str">
        <f aca="false">IF(B478="","",ROW()-4)</f>
        <v/>
      </c>
      <c r="B478" s="41"/>
      <c r="C478" s="42"/>
      <c r="D478" s="42"/>
      <c r="E478" s="42"/>
      <c r="F478" s="43"/>
      <c r="G478" s="40" t="str">
        <f aca="true">IF(OR(F478="",E478="Done",E478="Cancelled"),"",F478-TODAY())</f>
        <v/>
      </c>
      <c r="H478" s="44" t="str">
        <f aca="false">IF(G478="","",IF(G478&lt;0,"OVERDUE",IF(G478=0,"DUE TODAY",IF(G478&lt;=3,"DUE SOON",""))))</f>
        <v/>
      </c>
      <c r="I478" s="43"/>
      <c r="J478" s="43"/>
      <c r="K478" s="41"/>
      <c r="L478" s="41"/>
      <c r="M478" s="41"/>
    </row>
    <row r="479" customFormat="false" ht="18" hidden="false" customHeight="true" outlineLevel="0" collapsed="false">
      <c r="A479" s="40" t="str">
        <f aca="false">IF(B479="","",ROW()-4)</f>
        <v/>
      </c>
      <c r="B479" s="41"/>
      <c r="C479" s="42"/>
      <c r="D479" s="42"/>
      <c r="E479" s="42"/>
      <c r="F479" s="43"/>
      <c r="G479" s="40" t="str">
        <f aca="true">IF(OR(F479="",E479="Done",E479="Cancelled"),"",F479-TODAY())</f>
        <v/>
      </c>
      <c r="H479" s="44" t="str">
        <f aca="false">IF(G479="","",IF(G479&lt;0,"OVERDUE",IF(G479=0,"DUE TODAY",IF(G479&lt;=3,"DUE SOON",""))))</f>
        <v/>
      </c>
      <c r="I479" s="43"/>
      <c r="J479" s="43"/>
      <c r="K479" s="41"/>
      <c r="L479" s="41"/>
      <c r="M479" s="41"/>
    </row>
    <row r="480" customFormat="false" ht="18" hidden="false" customHeight="true" outlineLevel="0" collapsed="false">
      <c r="A480" s="40" t="str">
        <f aca="false">IF(B480="","",ROW()-4)</f>
        <v/>
      </c>
      <c r="B480" s="41"/>
      <c r="C480" s="42"/>
      <c r="D480" s="42"/>
      <c r="E480" s="42"/>
      <c r="F480" s="43"/>
      <c r="G480" s="40" t="str">
        <f aca="true">IF(OR(F480="",E480="Done",E480="Cancelled"),"",F480-TODAY())</f>
        <v/>
      </c>
      <c r="H480" s="44" t="str">
        <f aca="false">IF(G480="","",IF(G480&lt;0,"OVERDUE",IF(G480=0,"DUE TODAY",IF(G480&lt;=3,"DUE SOON",""))))</f>
        <v/>
      </c>
      <c r="I480" s="43"/>
      <c r="J480" s="43"/>
      <c r="K480" s="41"/>
      <c r="L480" s="41"/>
      <c r="M480" s="41"/>
    </row>
    <row r="481" customFormat="false" ht="18" hidden="false" customHeight="true" outlineLevel="0" collapsed="false">
      <c r="A481" s="40" t="str">
        <f aca="false">IF(B481="","",ROW()-4)</f>
        <v/>
      </c>
      <c r="B481" s="41"/>
      <c r="C481" s="42"/>
      <c r="D481" s="42"/>
      <c r="E481" s="42"/>
      <c r="F481" s="43"/>
      <c r="G481" s="40" t="str">
        <f aca="true">IF(OR(F481="",E481="Done",E481="Cancelled"),"",F481-TODAY())</f>
        <v/>
      </c>
      <c r="H481" s="44" t="str">
        <f aca="false">IF(G481="","",IF(G481&lt;0,"OVERDUE",IF(G481=0,"DUE TODAY",IF(G481&lt;=3,"DUE SOON",""))))</f>
        <v/>
      </c>
      <c r="I481" s="43"/>
      <c r="J481" s="43"/>
      <c r="K481" s="41"/>
      <c r="L481" s="41"/>
      <c r="M481" s="41"/>
    </row>
    <row r="482" customFormat="false" ht="18" hidden="false" customHeight="true" outlineLevel="0" collapsed="false">
      <c r="A482" s="40" t="str">
        <f aca="false">IF(B482="","",ROW()-4)</f>
        <v/>
      </c>
      <c r="B482" s="41"/>
      <c r="C482" s="42"/>
      <c r="D482" s="42"/>
      <c r="E482" s="42"/>
      <c r="F482" s="43"/>
      <c r="G482" s="40" t="str">
        <f aca="true">IF(OR(F482="",E482="Done",E482="Cancelled"),"",F482-TODAY())</f>
        <v/>
      </c>
      <c r="H482" s="44" t="str">
        <f aca="false">IF(G482="","",IF(G482&lt;0,"OVERDUE",IF(G482=0,"DUE TODAY",IF(G482&lt;=3,"DUE SOON",""))))</f>
        <v/>
      </c>
      <c r="I482" s="43"/>
      <c r="J482" s="43"/>
      <c r="K482" s="41"/>
      <c r="L482" s="41"/>
      <c r="M482" s="41"/>
    </row>
    <row r="483" customFormat="false" ht="18" hidden="false" customHeight="true" outlineLevel="0" collapsed="false">
      <c r="A483" s="40" t="str">
        <f aca="false">IF(B483="","",ROW()-4)</f>
        <v/>
      </c>
      <c r="B483" s="41"/>
      <c r="C483" s="42"/>
      <c r="D483" s="42"/>
      <c r="E483" s="42"/>
      <c r="F483" s="43"/>
      <c r="G483" s="40" t="str">
        <f aca="true">IF(OR(F483="",E483="Done",E483="Cancelled"),"",F483-TODAY())</f>
        <v/>
      </c>
      <c r="H483" s="44" t="str">
        <f aca="false">IF(G483="","",IF(G483&lt;0,"OVERDUE",IF(G483=0,"DUE TODAY",IF(G483&lt;=3,"DUE SOON",""))))</f>
        <v/>
      </c>
      <c r="I483" s="43"/>
      <c r="J483" s="43"/>
      <c r="K483" s="41"/>
      <c r="L483" s="41"/>
      <c r="M483" s="41"/>
    </row>
    <row r="484" customFormat="false" ht="18" hidden="false" customHeight="true" outlineLevel="0" collapsed="false">
      <c r="A484" s="40" t="str">
        <f aca="false">IF(B484="","",ROW()-4)</f>
        <v/>
      </c>
      <c r="B484" s="41"/>
      <c r="C484" s="42"/>
      <c r="D484" s="42"/>
      <c r="E484" s="42"/>
      <c r="F484" s="43"/>
      <c r="G484" s="40" t="str">
        <f aca="true">IF(OR(F484="",E484="Done",E484="Cancelled"),"",F484-TODAY())</f>
        <v/>
      </c>
      <c r="H484" s="44" t="str">
        <f aca="false">IF(G484="","",IF(G484&lt;0,"OVERDUE",IF(G484=0,"DUE TODAY",IF(G484&lt;=3,"DUE SOON",""))))</f>
        <v/>
      </c>
      <c r="I484" s="43"/>
      <c r="J484" s="43"/>
      <c r="K484" s="41"/>
      <c r="L484" s="41"/>
      <c r="M484" s="41"/>
    </row>
    <row r="485" customFormat="false" ht="18" hidden="false" customHeight="true" outlineLevel="0" collapsed="false">
      <c r="A485" s="40" t="str">
        <f aca="false">IF(B485="","",ROW()-4)</f>
        <v/>
      </c>
      <c r="B485" s="41"/>
      <c r="C485" s="42"/>
      <c r="D485" s="42"/>
      <c r="E485" s="42"/>
      <c r="F485" s="43"/>
      <c r="G485" s="40" t="str">
        <f aca="true">IF(OR(F485="",E485="Done",E485="Cancelled"),"",F485-TODAY())</f>
        <v/>
      </c>
      <c r="H485" s="44" t="str">
        <f aca="false">IF(G485="","",IF(G485&lt;0,"OVERDUE",IF(G485=0,"DUE TODAY",IF(G485&lt;=3,"DUE SOON",""))))</f>
        <v/>
      </c>
      <c r="I485" s="43"/>
      <c r="J485" s="43"/>
      <c r="K485" s="41"/>
      <c r="L485" s="41"/>
      <c r="M485" s="41"/>
    </row>
    <row r="486" customFormat="false" ht="18" hidden="false" customHeight="true" outlineLevel="0" collapsed="false">
      <c r="A486" s="40" t="str">
        <f aca="false">IF(B486="","",ROW()-4)</f>
        <v/>
      </c>
      <c r="B486" s="41"/>
      <c r="C486" s="42"/>
      <c r="D486" s="42"/>
      <c r="E486" s="42"/>
      <c r="F486" s="43"/>
      <c r="G486" s="40" t="str">
        <f aca="true">IF(OR(F486="",E486="Done",E486="Cancelled"),"",F486-TODAY())</f>
        <v/>
      </c>
      <c r="H486" s="44" t="str">
        <f aca="false">IF(G486="","",IF(G486&lt;0,"OVERDUE",IF(G486=0,"DUE TODAY",IF(G486&lt;=3,"DUE SOON",""))))</f>
        <v/>
      </c>
      <c r="I486" s="43"/>
      <c r="J486" s="43"/>
      <c r="K486" s="41"/>
      <c r="L486" s="41"/>
      <c r="M486" s="41"/>
    </row>
    <row r="487" customFormat="false" ht="18" hidden="false" customHeight="true" outlineLevel="0" collapsed="false">
      <c r="A487" s="40" t="str">
        <f aca="false">IF(B487="","",ROW()-4)</f>
        <v/>
      </c>
      <c r="B487" s="41"/>
      <c r="C487" s="42"/>
      <c r="D487" s="42"/>
      <c r="E487" s="42"/>
      <c r="F487" s="43"/>
      <c r="G487" s="40" t="str">
        <f aca="true">IF(OR(F487="",E487="Done",E487="Cancelled"),"",F487-TODAY())</f>
        <v/>
      </c>
      <c r="H487" s="44" t="str">
        <f aca="false">IF(G487="","",IF(G487&lt;0,"OVERDUE",IF(G487=0,"DUE TODAY",IF(G487&lt;=3,"DUE SOON",""))))</f>
        <v/>
      </c>
      <c r="I487" s="43"/>
      <c r="J487" s="43"/>
      <c r="K487" s="41"/>
      <c r="L487" s="41"/>
      <c r="M487" s="41"/>
    </row>
    <row r="488" customFormat="false" ht="18" hidden="false" customHeight="true" outlineLevel="0" collapsed="false">
      <c r="A488" s="40" t="str">
        <f aca="false">IF(B488="","",ROW()-4)</f>
        <v/>
      </c>
      <c r="B488" s="41"/>
      <c r="C488" s="42"/>
      <c r="D488" s="42"/>
      <c r="E488" s="42"/>
      <c r="F488" s="43"/>
      <c r="G488" s="40" t="str">
        <f aca="true">IF(OR(F488="",E488="Done",E488="Cancelled"),"",F488-TODAY())</f>
        <v/>
      </c>
      <c r="H488" s="44" t="str">
        <f aca="false">IF(G488="","",IF(G488&lt;0,"OVERDUE",IF(G488=0,"DUE TODAY",IF(G488&lt;=3,"DUE SOON",""))))</f>
        <v/>
      </c>
      <c r="I488" s="43"/>
      <c r="J488" s="43"/>
      <c r="K488" s="41"/>
      <c r="L488" s="41"/>
      <c r="M488" s="41"/>
    </row>
    <row r="489" customFormat="false" ht="18" hidden="false" customHeight="true" outlineLevel="0" collapsed="false">
      <c r="A489" s="40" t="str">
        <f aca="false">IF(B489="","",ROW()-4)</f>
        <v/>
      </c>
      <c r="B489" s="41"/>
      <c r="C489" s="42"/>
      <c r="D489" s="42"/>
      <c r="E489" s="42"/>
      <c r="F489" s="43"/>
      <c r="G489" s="40" t="str">
        <f aca="true">IF(OR(F489="",E489="Done",E489="Cancelled"),"",F489-TODAY())</f>
        <v/>
      </c>
      <c r="H489" s="44" t="str">
        <f aca="false">IF(G489="","",IF(G489&lt;0,"OVERDUE",IF(G489=0,"DUE TODAY",IF(G489&lt;=3,"DUE SOON",""))))</f>
        <v/>
      </c>
      <c r="I489" s="43"/>
      <c r="J489" s="43"/>
      <c r="K489" s="41"/>
      <c r="L489" s="41"/>
      <c r="M489" s="41"/>
    </row>
    <row r="490" customFormat="false" ht="18" hidden="false" customHeight="true" outlineLevel="0" collapsed="false">
      <c r="A490" s="40" t="str">
        <f aca="false">IF(B490="","",ROW()-4)</f>
        <v/>
      </c>
      <c r="B490" s="41"/>
      <c r="C490" s="42"/>
      <c r="D490" s="42"/>
      <c r="E490" s="42"/>
      <c r="F490" s="43"/>
      <c r="G490" s="40" t="str">
        <f aca="true">IF(OR(F490="",E490="Done",E490="Cancelled"),"",F490-TODAY())</f>
        <v/>
      </c>
      <c r="H490" s="44" t="str">
        <f aca="false">IF(G490="","",IF(G490&lt;0,"OVERDUE",IF(G490=0,"DUE TODAY",IF(G490&lt;=3,"DUE SOON",""))))</f>
        <v/>
      </c>
      <c r="I490" s="43"/>
      <c r="J490" s="43"/>
      <c r="K490" s="41"/>
      <c r="L490" s="41"/>
      <c r="M490" s="41"/>
    </row>
    <row r="491" customFormat="false" ht="18" hidden="false" customHeight="true" outlineLevel="0" collapsed="false">
      <c r="A491" s="40" t="str">
        <f aca="false">IF(B491="","",ROW()-4)</f>
        <v/>
      </c>
      <c r="B491" s="41"/>
      <c r="C491" s="42"/>
      <c r="D491" s="42"/>
      <c r="E491" s="42"/>
      <c r="F491" s="43"/>
      <c r="G491" s="40" t="str">
        <f aca="true">IF(OR(F491="",E491="Done",E491="Cancelled"),"",F491-TODAY())</f>
        <v/>
      </c>
      <c r="H491" s="44" t="str">
        <f aca="false">IF(G491="","",IF(G491&lt;0,"OVERDUE",IF(G491=0,"DUE TODAY",IF(G491&lt;=3,"DUE SOON",""))))</f>
        <v/>
      </c>
      <c r="I491" s="43"/>
      <c r="J491" s="43"/>
      <c r="K491" s="41"/>
      <c r="L491" s="41"/>
      <c r="M491" s="41"/>
    </row>
    <row r="492" customFormat="false" ht="18" hidden="false" customHeight="true" outlineLevel="0" collapsed="false">
      <c r="A492" s="40" t="str">
        <f aca="false">IF(B492="","",ROW()-4)</f>
        <v/>
      </c>
      <c r="B492" s="41"/>
      <c r="C492" s="42"/>
      <c r="D492" s="42"/>
      <c r="E492" s="42"/>
      <c r="F492" s="43"/>
      <c r="G492" s="40" t="str">
        <f aca="true">IF(OR(F492="",E492="Done",E492="Cancelled"),"",F492-TODAY())</f>
        <v/>
      </c>
      <c r="H492" s="44" t="str">
        <f aca="false">IF(G492="","",IF(G492&lt;0,"OVERDUE",IF(G492=0,"DUE TODAY",IF(G492&lt;=3,"DUE SOON",""))))</f>
        <v/>
      </c>
      <c r="I492" s="43"/>
      <c r="J492" s="43"/>
      <c r="K492" s="41"/>
      <c r="L492" s="41"/>
      <c r="M492" s="41"/>
    </row>
    <row r="493" customFormat="false" ht="18" hidden="false" customHeight="true" outlineLevel="0" collapsed="false">
      <c r="A493" s="40" t="str">
        <f aca="false">IF(B493="","",ROW()-4)</f>
        <v/>
      </c>
      <c r="B493" s="41"/>
      <c r="C493" s="42"/>
      <c r="D493" s="42"/>
      <c r="E493" s="42"/>
      <c r="F493" s="43"/>
      <c r="G493" s="40" t="str">
        <f aca="true">IF(OR(F493="",E493="Done",E493="Cancelled"),"",F493-TODAY())</f>
        <v/>
      </c>
      <c r="H493" s="44" t="str">
        <f aca="false">IF(G493="","",IF(G493&lt;0,"OVERDUE",IF(G493=0,"DUE TODAY",IF(G493&lt;=3,"DUE SOON",""))))</f>
        <v/>
      </c>
      <c r="I493" s="43"/>
      <c r="J493" s="43"/>
      <c r="K493" s="41"/>
      <c r="L493" s="41"/>
      <c r="M493" s="41"/>
    </row>
    <row r="494" customFormat="false" ht="18" hidden="false" customHeight="true" outlineLevel="0" collapsed="false">
      <c r="A494" s="40" t="str">
        <f aca="false">IF(B494="","",ROW()-4)</f>
        <v/>
      </c>
      <c r="B494" s="41"/>
      <c r="C494" s="42"/>
      <c r="D494" s="42"/>
      <c r="E494" s="42"/>
      <c r="F494" s="43"/>
      <c r="G494" s="40" t="str">
        <f aca="true">IF(OR(F494="",E494="Done",E494="Cancelled"),"",F494-TODAY())</f>
        <v/>
      </c>
      <c r="H494" s="44" t="str">
        <f aca="false">IF(G494="","",IF(G494&lt;0,"OVERDUE",IF(G494=0,"DUE TODAY",IF(G494&lt;=3,"DUE SOON",""))))</f>
        <v/>
      </c>
      <c r="I494" s="43"/>
      <c r="J494" s="43"/>
      <c r="K494" s="41"/>
      <c r="L494" s="41"/>
      <c r="M494" s="41"/>
    </row>
    <row r="495" customFormat="false" ht="18" hidden="false" customHeight="true" outlineLevel="0" collapsed="false">
      <c r="A495" s="40" t="str">
        <f aca="false">IF(B495="","",ROW()-4)</f>
        <v/>
      </c>
      <c r="B495" s="41"/>
      <c r="C495" s="42"/>
      <c r="D495" s="42"/>
      <c r="E495" s="42"/>
      <c r="F495" s="43"/>
      <c r="G495" s="40" t="str">
        <f aca="true">IF(OR(F495="",E495="Done",E495="Cancelled"),"",F495-TODAY())</f>
        <v/>
      </c>
      <c r="H495" s="44" t="str">
        <f aca="false">IF(G495="","",IF(G495&lt;0,"OVERDUE",IF(G495=0,"DUE TODAY",IF(G495&lt;=3,"DUE SOON",""))))</f>
        <v/>
      </c>
      <c r="I495" s="43"/>
      <c r="J495" s="43"/>
      <c r="K495" s="41"/>
      <c r="L495" s="41"/>
      <c r="M495" s="41"/>
    </row>
    <row r="496" customFormat="false" ht="18" hidden="false" customHeight="true" outlineLevel="0" collapsed="false">
      <c r="A496" s="40" t="str">
        <f aca="false">IF(B496="","",ROW()-4)</f>
        <v/>
      </c>
      <c r="B496" s="41"/>
      <c r="C496" s="42"/>
      <c r="D496" s="42"/>
      <c r="E496" s="42"/>
      <c r="F496" s="43"/>
      <c r="G496" s="40" t="str">
        <f aca="true">IF(OR(F496="",E496="Done",E496="Cancelled"),"",F496-TODAY())</f>
        <v/>
      </c>
      <c r="H496" s="44" t="str">
        <f aca="false">IF(G496="","",IF(G496&lt;0,"OVERDUE",IF(G496=0,"DUE TODAY",IF(G496&lt;=3,"DUE SOON",""))))</f>
        <v/>
      </c>
      <c r="I496" s="43"/>
      <c r="J496" s="43"/>
      <c r="K496" s="41"/>
      <c r="L496" s="41"/>
      <c r="M496" s="41"/>
    </row>
    <row r="497" customFormat="false" ht="18" hidden="false" customHeight="true" outlineLevel="0" collapsed="false">
      <c r="A497" s="40" t="str">
        <f aca="false">IF(B497="","",ROW()-4)</f>
        <v/>
      </c>
      <c r="B497" s="41"/>
      <c r="C497" s="42"/>
      <c r="D497" s="42"/>
      <c r="E497" s="42"/>
      <c r="F497" s="43"/>
      <c r="G497" s="40" t="str">
        <f aca="true">IF(OR(F497="",E497="Done",E497="Cancelled"),"",F497-TODAY())</f>
        <v/>
      </c>
      <c r="H497" s="44" t="str">
        <f aca="false">IF(G497="","",IF(G497&lt;0,"OVERDUE",IF(G497=0,"DUE TODAY",IF(G497&lt;=3,"DUE SOON",""))))</f>
        <v/>
      </c>
      <c r="I497" s="43"/>
      <c r="J497" s="43"/>
      <c r="K497" s="41"/>
      <c r="L497" s="41"/>
      <c r="M497" s="41"/>
    </row>
    <row r="498" customFormat="false" ht="18" hidden="false" customHeight="true" outlineLevel="0" collapsed="false">
      <c r="A498" s="40" t="str">
        <f aca="false">IF(B498="","",ROW()-4)</f>
        <v/>
      </c>
      <c r="B498" s="41"/>
      <c r="C498" s="42"/>
      <c r="D498" s="42"/>
      <c r="E498" s="42"/>
      <c r="F498" s="43"/>
      <c r="G498" s="40" t="str">
        <f aca="true">IF(OR(F498="",E498="Done",E498="Cancelled"),"",F498-TODAY())</f>
        <v/>
      </c>
      <c r="H498" s="44" t="str">
        <f aca="false">IF(G498="","",IF(G498&lt;0,"OVERDUE",IF(G498=0,"DUE TODAY",IF(G498&lt;=3,"DUE SOON",""))))</f>
        <v/>
      </c>
      <c r="I498" s="43"/>
      <c r="J498" s="43"/>
      <c r="K498" s="41"/>
      <c r="L498" s="41"/>
      <c r="M498" s="41"/>
    </row>
    <row r="499" customFormat="false" ht="18" hidden="false" customHeight="true" outlineLevel="0" collapsed="false">
      <c r="A499" s="40" t="str">
        <f aca="false">IF(B499="","",ROW()-4)</f>
        <v/>
      </c>
      <c r="B499" s="41"/>
      <c r="C499" s="42"/>
      <c r="D499" s="42"/>
      <c r="E499" s="42"/>
      <c r="F499" s="43"/>
      <c r="G499" s="40" t="str">
        <f aca="true">IF(OR(F499="",E499="Done",E499="Cancelled"),"",F499-TODAY())</f>
        <v/>
      </c>
      <c r="H499" s="44" t="str">
        <f aca="false">IF(G499="","",IF(G499&lt;0,"OVERDUE",IF(G499=0,"DUE TODAY",IF(G499&lt;=3,"DUE SOON",""))))</f>
        <v/>
      </c>
      <c r="I499" s="43"/>
      <c r="J499" s="43"/>
      <c r="K499" s="41"/>
      <c r="L499" s="41"/>
      <c r="M499" s="41"/>
    </row>
    <row r="500" customFormat="false" ht="18" hidden="false" customHeight="true" outlineLevel="0" collapsed="false">
      <c r="A500" s="40" t="str">
        <f aca="false">IF(B500="","",ROW()-4)</f>
        <v/>
      </c>
      <c r="B500" s="41"/>
      <c r="C500" s="42"/>
      <c r="D500" s="42"/>
      <c r="E500" s="42"/>
      <c r="F500" s="43"/>
      <c r="G500" s="40" t="str">
        <f aca="true">IF(OR(F500="",E500="Done",E500="Cancelled"),"",F500-TODAY())</f>
        <v/>
      </c>
      <c r="H500" s="44" t="str">
        <f aca="false">IF(G500="","",IF(G500&lt;0,"OVERDUE",IF(G500=0,"DUE TODAY",IF(G500&lt;=3,"DUE SOON",""))))</f>
        <v/>
      </c>
      <c r="I500" s="43"/>
      <c r="J500" s="43"/>
      <c r="K500" s="41"/>
      <c r="L500" s="41"/>
      <c r="M500" s="41"/>
    </row>
    <row r="501" customFormat="false" ht="18" hidden="false" customHeight="true" outlineLevel="0" collapsed="false">
      <c r="A501" s="40" t="str">
        <f aca="false">IF(B501="","",ROW()-4)</f>
        <v/>
      </c>
      <c r="B501" s="41"/>
      <c r="C501" s="42"/>
      <c r="D501" s="42"/>
      <c r="E501" s="42"/>
      <c r="F501" s="43"/>
      <c r="G501" s="40" t="str">
        <f aca="true">IF(OR(F501="",E501="Done",E501="Cancelled"),"",F501-TODAY())</f>
        <v/>
      </c>
      <c r="H501" s="44" t="str">
        <f aca="false">IF(G501="","",IF(G501&lt;0,"OVERDUE",IF(G501=0,"DUE TODAY",IF(G501&lt;=3,"DUE SOON",""))))</f>
        <v/>
      </c>
      <c r="I501" s="43"/>
      <c r="J501" s="43"/>
      <c r="K501" s="41"/>
      <c r="L501" s="41"/>
      <c r="M501" s="41"/>
    </row>
    <row r="502" customFormat="false" ht="18" hidden="false" customHeight="true" outlineLevel="0" collapsed="false">
      <c r="A502" s="40" t="str">
        <f aca="false">IF(B502="","",ROW()-4)</f>
        <v/>
      </c>
      <c r="B502" s="41"/>
      <c r="C502" s="42"/>
      <c r="D502" s="42"/>
      <c r="E502" s="42"/>
      <c r="F502" s="43"/>
      <c r="G502" s="40" t="str">
        <f aca="true">IF(OR(F502="",E502="Done",E502="Cancelled"),"",F502-TODAY())</f>
        <v/>
      </c>
      <c r="H502" s="44" t="str">
        <f aca="false">IF(G502="","",IF(G502&lt;0,"OVERDUE",IF(G502=0,"DUE TODAY",IF(G502&lt;=3,"DUE SOON",""))))</f>
        <v/>
      </c>
      <c r="I502" s="43"/>
      <c r="J502" s="43"/>
      <c r="K502" s="41"/>
      <c r="L502" s="41"/>
      <c r="M502" s="41"/>
    </row>
    <row r="503" customFormat="false" ht="18" hidden="false" customHeight="true" outlineLevel="0" collapsed="false">
      <c r="A503" s="40" t="str">
        <f aca="false">IF(B503="","",ROW()-4)</f>
        <v/>
      </c>
      <c r="B503" s="41"/>
      <c r="C503" s="42"/>
      <c r="D503" s="42"/>
      <c r="E503" s="42"/>
      <c r="F503" s="43"/>
      <c r="G503" s="40" t="str">
        <f aca="true">IF(OR(F503="",E503="Done",E503="Cancelled"),"",F503-TODAY())</f>
        <v/>
      </c>
      <c r="H503" s="44" t="str">
        <f aca="false">IF(G503="","",IF(G503&lt;0,"OVERDUE",IF(G503=0,"DUE TODAY",IF(G503&lt;=3,"DUE SOON",""))))</f>
        <v/>
      </c>
      <c r="I503" s="43"/>
      <c r="J503" s="43"/>
      <c r="K503" s="41"/>
      <c r="L503" s="41"/>
      <c r="M503" s="41"/>
    </row>
    <row r="504" customFormat="false" ht="18" hidden="false" customHeight="true" outlineLevel="0" collapsed="false">
      <c r="A504" s="40" t="str">
        <f aca="false">IF(B504="","",ROW()-4)</f>
        <v/>
      </c>
      <c r="B504" s="41"/>
      <c r="C504" s="42"/>
      <c r="D504" s="42"/>
      <c r="E504" s="42"/>
      <c r="F504" s="43"/>
      <c r="G504" s="40" t="str">
        <f aca="true">IF(OR(F504="",E504="Done",E504="Cancelled"),"",F504-TODAY())</f>
        <v/>
      </c>
      <c r="H504" s="44" t="str">
        <f aca="false">IF(G504="","",IF(G504&lt;0,"OVERDUE",IF(G504=0,"DUE TODAY",IF(G504&lt;=3,"DUE SOON",""))))</f>
        <v/>
      </c>
      <c r="I504" s="43"/>
      <c r="J504" s="43"/>
      <c r="K504" s="41"/>
      <c r="L504" s="41"/>
      <c r="M504" s="41"/>
    </row>
  </sheetData>
  <autoFilter ref="A4:M504"/>
  <conditionalFormatting sqref="A5:M504">
    <cfRule type="expression" priority="2" aboveAverage="0" equalAverage="0" bottom="0" percent="0" rank="0" text="" dxfId="11">
      <formula>$E5="Done"</formula>
    </cfRule>
    <cfRule type="expression" priority="3" aboveAverage="0" equalAverage="0" bottom="0" percent="0" rank="0" text="" dxfId="12">
      <formula>$E5="Cancelled"</formula>
    </cfRule>
    <cfRule type="expression" priority="4" aboveAverage="0" equalAverage="0" bottom="0" percent="0" rank="0" text="" dxfId="13">
      <formula>$E5="Blocked"</formula>
    </cfRule>
    <cfRule type="expression" priority="5" aboveAverage="0" equalAverage="0" bottom="0" percent="0" rank="0" text="" dxfId="14">
      <formula>$E5="Postponed"</formula>
    </cfRule>
    <cfRule type="expression" priority="6" aboveAverage="0" equalAverage="0" bottom="0" percent="0" rank="0" text="" dxfId="15">
      <formula>$E5="Waiting"</formula>
    </cfRule>
    <cfRule type="expression" priority="7" aboveAverage="0" equalAverage="0" bottom="0" percent="0" rank="0" text="" dxfId="16">
      <formula>$E5="In Progress"</formula>
    </cfRule>
  </conditionalFormatting>
  <conditionalFormatting sqref="H5:H504">
    <cfRule type="expression" priority="8" aboveAverage="0" equalAverage="0" bottom="0" percent="0" rank="0" text="" dxfId="17">
      <formula>$H5="OVERDUE"</formula>
    </cfRule>
    <cfRule type="expression" priority="9" aboveAverage="0" equalAverage="0" bottom="0" percent="0" rank="0" text="" dxfId="18">
      <formula>OR($H5="DUE TODAY",$H5="DUE SOON")</formula>
    </cfRule>
  </conditionalFormatting>
  <conditionalFormatting sqref="D5:D504">
    <cfRule type="expression" priority="10" aboveAverage="0" equalAverage="0" bottom="0" percent="0" rank="0" text="" dxfId="17">
      <formula>LEFT($D5,2)="P1"</formula>
    </cfRule>
  </conditionalFormatting>
  <dataValidations count="4">
    <dataValidation allowBlank="true" error="Pick a value from the list (edit the Lists sheet to add more)." errorStyle="stop" errorTitle="Invalid entry" operator="between" showDropDown="false" showErrorMessage="false" showInputMessage="false" sqref="C5:C504" type="list">
      <formula1>Lists!$C$4:$C$10</formula1>
      <formula2>0</formula2>
    </dataValidation>
    <dataValidation allowBlank="true" error="Pick a value from the list (edit the Lists sheet to add more)." errorStyle="stop" errorTitle="Invalid entry" operator="between" showDropDown="false" showErrorMessage="false" showInputMessage="false" sqref="D5:D504" type="list">
      <formula1>Lists!$B$4:$B$7</formula1>
      <formula2>0</formula2>
    </dataValidation>
    <dataValidation allowBlank="true" error="Pick a value from the list (edit the Lists sheet to add more)." errorStyle="stop" errorTitle="Invalid entry" operator="between" showDropDown="false" showErrorMessage="false" showInputMessage="false" sqref="E5:E504" type="list">
      <formula1>Lists!$A$4:$A$10</formula1>
      <formula2>0</formula2>
    </dataValidation>
    <dataValidation allowBlank="true" error="Enter a valid date." errorStyle="stop" errorTitle="Invalid date" operator="greaterThan" showDropDown="false" showErrorMessage="false" showInputMessage="false" sqref="F5:F504 I5:J5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I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27.75" hidden="false" customHeight="true" outlineLevel="0" collapsed="false">
      <c r="A4" s="39" t="s">
        <v>31</v>
      </c>
      <c r="B4" s="39" t="s">
        <v>72</v>
      </c>
      <c r="C4" s="39" t="s">
        <v>33</v>
      </c>
      <c r="D4" s="39" t="s">
        <v>73</v>
      </c>
      <c r="E4" s="39" t="s">
        <v>74</v>
      </c>
      <c r="F4" s="39" t="s">
        <v>35</v>
      </c>
      <c r="G4" s="39" t="s">
        <v>75</v>
      </c>
      <c r="H4" s="39" t="s">
        <v>76</v>
      </c>
      <c r="I4" s="39" t="s">
        <v>77</v>
      </c>
    </row>
    <row r="5" customFormat="false" ht="18" hidden="false" customHeight="true" outlineLevel="0" collapsed="false">
      <c r="A5" s="40" t="n">
        <f aca="false">IF(B5="","",ROW()-4)</f>
        <v>1</v>
      </c>
      <c r="B5" s="41" t="s">
        <v>78</v>
      </c>
      <c r="C5" s="42" t="s">
        <v>45</v>
      </c>
      <c r="D5" s="42" t="s">
        <v>79</v>
      </c>
      <c r="E5" s="42" t="s">
        <v>80</v>
      </c>
      <c r="F5" s="42" t="s">
        <v>81</v>
      </c>
      <c r="G5" s="43" t="n">
        <v>46301</v>
      </c>
      <c r="H5" s="41" t="s">
        <v>82</v>
      </c>
      <c r="I5" s="41" t="s">
        <v>83</v>
      </c>
    </row>
    <row r="6" customFormat="false" ht="18" hidden="false" customHeight="true" outlineLevel="0" collapsed="false">
      <c r="A6" s="40" t="n">
        <f aca="false">IF(B6="","",ROW()-4)</f>
        <v>2</v>
      </c>
      <c r="B6" s="41" t="s">
        <v>84</v>
      </c>
      <c r="C6" s="42" t="s">
        <v>63</v>
      </c>
      <c r="D6" s="42" t="s">
        <v>80</v>
      </c>
      <c r="E6" s="42" t="s">
        <v>85</v>
      </c>
      <c r="F6" s="42" t="s">
        <v>86</v>
      </c>
      <c r="G6" s="43" t="n">
        <v>46310</v>
      </c>
      <c r="H6" s="41" t="s">
        <v>87</v>
      </c>
      <c r="I6" s="41" t="s">
        <v>88</v>
      </c>
    </row>
    <row r="7" customFormat="false" ht="18" hidden="false" customHeight="true" outlineLevel="0" collapsed="false">
      <c r="A7" s="40" t="n">
        <f aca="false">IF(B7="","",ROW()-4)</f>
        <v>3</v>
      </c>
      <c r="B7" s="41" t="s">
        <v>89</v>
      </c>
      <c r="C7" s="42" t="s">
        <v>90</v>
      </c>
      <c r="D7" s="42" t="s">
        <v>80</v>
      </c>
      <c r="E7" s="42" t="s">
        <v>85</v>
      </c>
      <c r="F7" s="42" t="s">
        <v>91</v>
      </c>
      <c r="G7" s="43" t="n">
        <v>46273</v>
      </c>
      <c r="H7" s="41" t="s">
        <v>92</v>
      </c>
      <c r="I7" s="41"/>
    </row>
    <row r="8" customFormat="false" ht="18" hidden="false" customHeight="true" outlineLevel="0" collapsed="false">
      <c r="A8" s="40" t="str">
        <f aca="false">IF(B8="","",ROW()-4)</f>
        <v/>
      </c>
      <c r="B8" s="41"/>
      <c r="C8" s="42"/>
      <c r="D8" s="42"/>
      <c r="E8" s="42"/>
      <c r="F8" s="42"/>
      <c r="G8" s="43"/>
      <c r="H8" s="41"/>
      <c r="I8" s="41"/>
    </row>
    <row r="9" customFormat="false" ht="18" hidden="false" customHeight="true" outlineLevel="0" collapsed="false">
      <c r="A9" s="40" t="str">
        <f aca="false">IF(B9="","",ROW()-4)</f>
        <v/>
      </c>
      <c r="B9" s="41"/>
      <c r="C9" s="42"/>
      <c r="D9" s="42"/>
      <c r="E9" s="42"/>
      <c r="F9" s="42"/>
      <c r="G9" s="43"/>
      <c r="H9" s="41"/>
      <c r="I9" s="41"/>
    </row>
    <row r="10" customFormat="false" ht="18" hidden="false" customHeight="true" outlineLevel="0" collapsed="false">
      <c r="A10" s="40" t="str">
        <f aca="false">IF(B10="","",ROW()-4)</f>
        <v/>
      </c>
      <c r="B10" s="41"/>
      <c r="C10" s="42"/>
      <c r="D10" s="42"/>
      <c r="E10" s="42"/>
      <c r="F10" s="42"/>
      <c r="G10" s="43"/>
      <c r="H10" s="41"/>
      <c r="I10" s="41"/>
    </row>
    <row r="11" customFormat="false" ht="18" hidden="false" customHeight="true" outlineLevel="0" collapsed="false">
      <c r="A11" s="40" t="str">
        <f aca="false">IF(B11="","",ROW()-4)</f>
        <v/>
      </c>
      <c r="B11" s="41"/>
      <c r="C11" s="42"/>
      <c r="D11" s="42"/>
      <c r="E11" s="42"/>
      <c r="F11" s="42"/>
      <c r="G11" s="43"/>
      <c r="H11" s="41"/>
      <c r="I11" s="41"/>
    </row>
    <row r="12" customFormat="false" ht="18" hidden="false" customHeight="true" outlineLevel="0" collapsed="false">
      <c r="A12" s="40" t="str">
        <f aca="false">IF(B12="","",ROW()-4)</f>
        <v/>
      </c>
      <c r="B12" s="41"/>
      <c r="C12" s="42"/>
      <c r="D12" s="42"/>
      <c r="E12" s="42"/>
      <c r="F12" s="42"/>
      <c r="G12" s="43"/>
      <c r="H12" s="41"/>
      <c r="I12" s="41"/>
    </row>
    <row r="13" customFormat="false" ht="18" hidden="false" customHeight="true" outlineLevel="0" collapsed="false">
      <c r="A13" s="40" t="str">
        <f aca="false">IF(B13="","",ROW()-4)</f>
        <v/>
      </c>
      <c r="B13" s="41"/>
      <c r="C13" s="42"/>
      <c r="D13" s="42"/>
      <c r="E13" s="42"/>
      <c r="F13" s="42"/>
      <c r="G13" s="43"/>
      <c r="H13" s="41"/>
      <c r="I13" s="41"/>
    </row>
    <row r="14" customFormat="false" ht="18" hidden="false" customHeight="true" outlineLevel="0" collapsed="false">
      <c r="A14" s="40" t="str">
        <f aca="false">IF(B14="","",ROW()-4)</f>
        <v/>
      </c>
      <c r="B14" s="41"/>
      <c r="C14" s="42"/>
      <c r="D14" s="42"/>
      <c r="E14" s="42"/>
      <c r="F14" s="42"/>
      <c r="G14" s="43"/>
      <c r="H14" s="41"/>
      <c r="I14" s="41"/>
    </row>
    <row r="15" customFormat="false" ht="18" hidden="false" customHeight="true" outlineLevel="0" collapsed="false">
      <c r="A15" s="40" t="str">
        <f aca="false">IF(B15="","",ROW()-4)</f>
        <v/>
      </c>
      <c r="B15" s="41"/>
      <c r="C15" s="42"/>
      <c r="D15" s="42"/>
      <c r="E15" s="42"/>
      <c r="F15" s="42"/>
      <c r="G15" s="43"/>
      <c r="H15" s="41"/>
      <c r="I15" s="41"/>
    </row>
    <row r="16" customFormat="false" ht="18" hidden="false" customHeight="true" outlineLevel="0" collapsed="false">
      <c r="A16" s="40" t="str">
        <f aca="false">IF(B16="","",ROW()-4)</f>
        <v/>
      </c>
      <c r="B16" s="41"/>
      <c r="C16" s="42"/>
      <c r="D16" s="42"/>
      <c r="E16" s="42"/>
      <c r="F16" s="42"/>
      <c r="G16" s="43"/>
      <c r="H16" s="41"/>
      <c r="I16" s="41"/>
    </row>
    <row r="17" customFormat="false" ht="18" hidden="false" customHeight="true" outlineLevel="0" collapsed="false">
      <c r="A17" s="40" t="str">
        <f aca="false">IF(B17="","",ROW()-4)</f>
        <v/>
      </c>
      <c r="B17" s="41"/>
      <c r="C17" s="42"/>
      <c r="D17" s="42"/>
      <c r="E17" s="42"/>
      <c r="F17" s="42"/>
      <c r="G17" s="43"/>
      <c r="H17" s="41"/>
      <c r="I17" s="41"/>
    </row>
    <row r="18" customFormat="false" ht="18" hidden="false" customHeight="true" outlineLevel="0" collapsed="false">
      <c r="A18" s="40" t="str">
        <f aca="false">IF(B18="","",ROW()-4)</f>
        <v/>
      </c>
      <c r="B18" s="41"/>
      <c r="C18" s="42"/>
      <c r="D18" s="42"/>
      <c r="E18" s="42"/>
      <c r="F18" s="42"/>
      <c r="G18" s="43"/>
      <c r="H18" s="41"/>
      <c r="I18" s="41"/>
    </row>
    <row r="19" customFormat="false" ht="18" hidden="false" customHeight="true" outlineLevel="0" collapsed="false">
      <c r="A19" s="40" t="str">
        <f aca="false">IF(B19="","",ROW()-4)</f>
        <v/>
      </c>
      <c r="B19" s="41"/>
      <c r="C19" s="42"/>
      <c r="D19" s="42"/>
      <c r="E19" s="42"/>
      <c r="F19" s="42"/>
      <c r="G19" s="43"/>
      <c r="H19" s="41"/>
      <c r="I19" s="41"/>
    </row>
    <row r="20" customFormat="false" ht="18" hidden="false" customHeight="true" outlineLevel="0" collapsed="false">
      <c r="A20" s="40" t="str">
        <f aca="false">IF(B20="","",ROW()-4)</f>
        <v/>
      </c>
      <c r="B20" s="41"/>
      <c r="C20" s="42"/>
      <c r="D20" s="42"/>
      <c r="E20" s="42"/>
      <c r="F20" s="42"/>
      <c r="G20" s="43"/>
      <c r="H20" s="41"/>
      <c r="I20" s="41"/>
    </row>
    <row r="21" customFormat="false" ht="18" hidden="false" customHeight="true" outlineLevel="0" collapsed="false">
      <c r="A21" s="40" t="str">
        <f aca="false">IF(B21="","",ROW()-4)</f>
        <v/>
      </c>
      <c r="B21" s="41"/>
      <c r="C21" s="42"/>
      <c r="D21" s="42"/>
      <c r="E21" s="42"/>
      <c r="F21" s="42"/>
      <c r="G21" s="43"/>
      <c r="H21" s="41"/>
      <c r="I21" s="41"/>
    </row>
    <row r="22" customFormat="false" ht="18" hidden="false" customHeight="true" outlineLevel="0" collapsed="false">
      <c r="A22" s="40" t="str">
        <f aca="false">IF(B22="","",ROW()-4)</f>
        <v/>
      </c>
      <c r="B22" s="41"/>
      <c r="C22" s="42"/>
      <c r="D22" s="42"/>
      <c r="E22" s="42"/>
      <c r="F22" s="42"/>
      <c r="G22" s="43"/>
      <c r="H22" s="41"/>
      <c r="I22" s="41"/>
    </row>
    <row r="23" customFormat="false" ht="18" hidden="false" customHeight="true" outlineLevel="0" collapsed="false">
      <c r="A23" s="40" t="str">
        <f aca="false">IF(B23="","",ROW()-4)</f>
        <v/>
      </c>
      <c r="B23" s="41"/>
      <c r="C23" s="42"/>
      <c r="D23" s="42"/>
      <c r="E23" s="42"/>
      <c r="F23" s="42"/>
      <c r="G23" s="43"/>
      <c r="H23" s="41"/>
      <c r="I23" s="41"/>
    </row>
    <row r="24" customFormat="false" ht="18" hidden="false" customHeight="true" outlineLevel="0" collapsed="false">
      <c r="A24" s="40" t="str">
        <f aca="false">IF(B24="","",ROW()-4)</f>
        <v/>
      </c>
      <c r="B24" s="41"/>
      <c r="C24" s="42"/>
      <c r="D24" s="42"/>
      <c r="E24" s="42"/>
      <c r="F24" s="42"/>
      <c r="G24" s="43"/>
      <c r="H24" s="41"/>
      <c r="I24" s="41"/>
    </row>
    <row r="25" customFormat="false" ht="18" hidden="false" customHeight="true" outlineLevel="0" collapsed="false">
      <c r="A25" s="40" t="str">
        <f aca="false">IF(B25="","",ROW()-4)</f>
        <v/>
      </c>
      <c r="B25" s="41"/>
      <c r="C25" s="42"/>
      <c r="D25" s="42"/>
      <c r="E25" s="42"/>
      <c r="F25" s="42"/>
      <c r="G25" s="43"/>
      <c r="H25" s="41"/>
      <c r="I25" s="41"/>
    </row>
    <row r="26" customFormat="false" ht="18" hidden="false" customHeight="true" outlineLevel="0" collapsed="false">
      <c r="A26" s="40" t="str">
        <f aca="false">IF(B26="","",ROW()-4)</f>
        <v/>
      </c>
      <c r="B26" s="41"/>
      <c r="C26" s="42"/>
      <c r="D26" s="42"/>
      <c r="E26" s="42"/>
      <c r="F26" s="42"/>
      <c r="G26" s="43"/>
      <c r="H26" s="41"/>
      <c r="I26" s="41"/>
    </row>
    <row r="27" customFormat="false" ht="18" hidden="false" customHeight="true" outlineLevel="0" collapsed="false">
      <c r="A27" s="40" t="str">
        <f aca="false">IF(B27="","",ROW()-4)</f>
        <v/>
      </c>
      <c r="B27" s="41"/>
      <c r="C27" s="42"/>
      <c r="D27" s="42"/>
      <c r="E27" s="42"/>
      <c r="F27" s="42"/>
      <c r="G27" s="43"/>
      <c r="H27" s="41"/>
      <c r="I27" s="41"/>
    </row>
    <row r="28" customFormat="false" ht="18" hidden="false" customHeight="true" outlineLevel="0" collapsed="false">
      <c r="A28" s="40" t="str">
        <f aca="false">IF(B28="","",ROW()-4)</f>
        <v/>
      </c>
      <c r="B28" s="41"/>
      <c r="C28" s="42"/>
      <c r="D28" s="42"/>
      <c r="E28" s="42"/>
      <c r="F28" s="42"/>
      <c r="G28" s="43"/>
      <c r="H28" s="41"/>
      <c r="I28" s="41"/>
    </row>
    <row r="29" customFormat="false" ht="18" hidden="false" customHeight="true" outlineLevel="0" collapsed="false">
      <c r="A29" s="40" t="str">
        <f aca="false">IF(B29="","",ROW()-4)</f>
        <v/>
      </c>
      <c r="B29" s="41"/>
      <c r="C29" s="42"/>
      <c r="D29" s="42"/>
      <c r="E29" s="42"/>
      <c r="F29" s="42"/>
      <c r="G29" s="43"/>
      <c r="H29" s="41"/>
      <c r="I29" s="41"/>
    </row>
    <row r="30" customFormat="false" ht="18" hidden="false" customHeight="true" outlineLevel="0" collapsed="false">
      <c r="A30" s="40" t="str">
        <f aca="false">IF(B30="","",ROW()-4)</f>
        <v/>
      </c>
      <c r="B30" s="41"/>
      <c r="C30" s="42"/>
      <c r="D30" s="42"/>
      <c r="E30" s="42"/>
      <c r="F30" s="42"/>
      <c r="G30" s="43"/>
      <c r="H30" s="41"/>
      <c r="I30" s="41"/>
    </row>
    <row r="31" customFormat="false" ht="18" hidden="false" customHeight="true" outlineLevel="0" collapsed="false">
      <c r="A31" s="40" t="str">
        <f aca="false">IF(B31="","",ROW()-4)</f>
        <v/>
      </c>
      <c r="B31" s="41"/>
      <c r="C31" s="42"/>
      <c r="D31" s="42"/>
      <c r="E31" s="42"/>
      <c r="F31" s="42"/>
      <c r="G31" s="43"/>
      <c r="H31" s="41"/>
      <c r="I31" s="41"/>
    </row>
    <row r="32" customFormat="false" ht="18" hidden="false" customHeight="true" outlineLevel="0" collapsed="false">
      <c r="A32" s="40" t="str">
        <f aca="false">IF(B32="","",ROW()-4)</f>
        <v/>
      </c>
      <c r="B32" s="41"/>
      <c r="C32" s="42"/>
      <c r="D32" s="42"/>
      <c r="E32" s="42"/>
      <c r="F32" s="42"/>
      <c r="G32" s="43"/>
      <c r="H32" s="41"/>
      <c r="I32" s="41"/>
    </row>
    <row r="33" customFormat="false" ht="18" hidden="false" customHeight="true" outlineLevel="0" collapsed="false">
      <c r="A33" s="40" t="str">
        <f aca="false">IF(B33="","",ROW()-4)</f>
        <v/>
      </c>
      <c r="B33" s="41"/>
      <c r="C33" s="42"/>
      <c r="D33" s="42"/>
      <c r="E33" s="42"/>
      <c r="F33" s="42"/>
      <c r="G33" s="43"/>
      <c r="H33" s="41"/>
      <c r="I33" s="41"/>
    </row>
    <row r="34" customFormat="false" ht="18" hidden="false" customHeight="true" outlineLevel="0" collapsed="false">
      <c r="A34" s="40" t="str">
        <f aca="false">IF(B34="","",ROW()-4)</f>
        <v/>
      </c>
      <c r="B34" s="41"/>
      <c r="C34" s="42"/>
      <c r="D34" s="42"/>
      <c r="E34" s="42"/>
      <c r="F34" s="42"/>
      <c r="G34" s="43"/>
      <c r="H34" s="41"/>
      <c r="I34" s="41"/>
    </row>
    <row r="35" customFormat="false" ht="18" hidden="false" customHeight="true" outlineLevel="0" collapsed="false">
      <c r="A35" s="40" t="str">
        <f aca="false">IF(B35="","",ROW()-4)</f>
        <v/>
      </c>
      <c r="B35" s="41"/>
      <c r="C35" s="42"/>
      <c r="D35" s="42"/>
      <c r="E35" s="42"/>
      <c r="F35" s="42"/>
      <c r="G35" s="43"/>
      <c r="H35" s="41"/>
      <c r="I35" s="41"/>
    </row>
    <row r="36" customFormat="false" ht="18" hidden="false" customHeight="true" outlineLevel="0" collapsed="false">
      <c r="A36" s="40" t="str">
        <f aca="false">IF(B36="","",ROW()-4)</f>
        <v/>
      </c>
      <c r="B36" s="41"/>
      <c r="C36" s="42"/>
      <c r="D36" s="42"/>
      <c r="E36" s="42"/>
      <c r="F36" s="42"/>
      <c r="G36" s="43"/>
      <c r="H36" s="41"/>
      <c r="I36" s="41"/>
    </row>
    <row r="37" customFormat="false" ht="18" hidden="false" customHeight="true" outlineLevel="0" collapsed="false">
      <c r="A37" s="40" t="str">
        <f aca="false">IF(B37="","",ROW()-4)</f>
        <v/>
      </c>
      <c r="B37" s="41"/>
      <c r="C37" s="42"/>
      <c r="D37" s="42"/>
      <c r="E37" s="42"/>
      <c r="F37" s="42"/>
      <c r="G37" s="43"/>
      <c r="H37" s="41"/>
      <c r="I37" s="41"/>
    </row>
    <row r="38" customFormat="false" ht="18" hidden="false" customHeight="true" outlineLevel="0" collapsed="false">
      <c r="A38" s="40" t="str">
        <f aca="false">IF(B38="","",ROW()-4)</f>
        <v/>
      </c>
      <c r="B38" s="41"/>
      <c r="C38" s="42"/>
      <c r="D38" s="42"/>
      <c r="E38" s="42"/>
      <c r="F38" s="42"/>
      <c r="G38" s="43"/>
      <c r="H38" s="41"/>
      <c r="I38" s="41"/>
    </row>
    <row r="39" customFormat="false" ht="18" hidden="false" customHeight="true" outlineLevel="0" collapsed="false">
      <c r="A39" s="40" t="str">
        <f aca="false">IF(B39="","",ROW()-4)</f>
        <v/>
      </c>
      <c r="B39" s="41"/>
      <c r="C39" s="42"/>
      <c r="D39" s="42"/>
      <c r="E39" s="42"/>
      <c r="F39" s="42"/>
      <c r="G39" s="43"/>
      <c r="H39" s="41"/>
      <c r="I39" s="41"/>
    </row>
    <row r="40" customFormat="false" ht="18" hidden="false" customHeight="true" outlineLevel="0" collapsed="false">
      <c r="A40" s="40" t="str">
        <f aca="false">IF(B40="","",ROW()-4)</f>
        <v/>
      </c>
      <c r="B40" s="41"/>
      <c r="C40" s="42"/>
      <c r="D40" s="42"/>
      <c r="E40" s="42"/>
      <c r="F40" s="42"/>
      <c r="G40" s="43"/>
      <c r="H40" s="41"/>
      <c r="I40" s="41"/>
    </row>
    <row r="41" customFormat="false" ht="18" hidden="false" customHeight="true" outlineLevel="0" collapsed="false">
      <c r="A41" s="40" t="str">
        <f aca="false">IF(B41="","",ROW()-4)</f>
        <v/>
      </c>
      <c r="B41" s="41"/>
      <c r="C41" s="42"/>
      <c r="D41" s="42"/>
      <c r="E41" s="42"/>
      <c r="F41" s="42"/>
      <c r="G41" s="43"/>
      <c r="H41" s="41"/>
      <c r="I41" s="41"/>
    </row>
    <row r="42" customFormat="false" ht="18" hidden="false" customHeight="true" outlineLevel="0" collapsed="false">
      <c r="A42" s="40" t="str">
        <f aca="false">IF(B42="","",ROW()-4)</f>
        <v/>
      </c>
      <c r="B42" s="41"/>
      <c r="C42" s="42"/>
      <c r="D42" s="42"/>
      <c r="E42" s="42"/>
      <c r="F42" s="42"/>
      <c r="G42" s="43"/>
      <c r="H42" s="41"/>
      <c r="I42" s="41"/>
    </row>
    <row r="43" customFormat="false" ht="18" hidden="false" customHeight="true" outlineLevel="0" collapsed="false">
      <c r="A43" s="40" t="str">
        <f aca="false">IF(B43="","",ROW()-4)</f>
        <v/>
      </c>
      <c r="B43" s="41"/>
      <c r="C43" s="42"/>
      <c r="D43" s="42"/>
      <c r="E43" s="42"/>
      <c r="F43" s="42"/>
      <c r="G43" s="43"/>
      <c r="H43" s="41"/>
      <c r="I43" s="41"/>
    </row>
    <row r="44" customFormat="false" ht="18" hidden="false" customHeight="true" outlineLevel="0" collapsed="false">
      <c r="A44" s="40" t="str">
        <f aca="false">IF(B44="","",ROW()-4)</f>
        <v/>
      </c>
      <c r="B44" s="41"/>
      <c r="C44" s="42"/>
      <c r="D44" s="42"/>
      <c r="E44" s="42"/>
      <c r="F44" s="42"/>
      <c r="G44" s="43"/>
      <c r="H44" s="41"/>
      <c r="I44" s="41"/>
    </row>
    <row r="45" customFormat="false" ht="18" hidden="false" customHeight="true" outlineLevel="0" collapsed="false">
      <c r="A45" s="40" t="str">
        <f aca="false">IF(B45="","",ROW()-4)</f>
        <v/>
      </c>
      <c r="B45" s="41"/>
      <c r="C45" s="42"/>
      <c r="D45" s="42"/>
      <c r="E45" s="42"/>
      <c r="F45" s="42"/>
      <c r="G45" s="43"/>
      <c r="H45" s="41"/>
      <c r="I45" s="41"/>
    </row>
    <row r="46" customFormat="false" ht="18" hidden="false" customHeight="true" outlineLevel="0" collapsed="false">
      <c r="A46" s="40" t="str">
        <f aca="false">IF(B46="","",ROW()-4)</f>
        <v/>
      </c>
      <c r="B46" s="41"/>
      <c r="C46" s="42"/>
      <c r="D46" s="42"/>
      <c r="E46" s="42"/>
      <c r="F46" s="42"/>
      <c r="G46" s="43"/>
      <c r="H46" s="41"/>
      <c r="I46" s="41"/>
    </row>
    <row r="47" customFormat="false" ht="18" hidden="false" customHeight="true" outlineLevel="0" collapsed="false">
      <c r="A47" s="40" t="str">
        <f aca="false">IF(B47="","",ROW()-4)</f>
        <v/>
      </c>
      <c r="B47" s="41"/>
      <c r="C47" s="42"/>
      <c r="D47" s="42"/>
      <c r="E47" s="42"/>
      <c r="F47" s="42"/>
      <c r="G47" s="43"/>
      <c r="H47" s="41"/>
      <c r="I47" s="41"/>
    </row>
    <row r="48" customFormat="false" ht="18" hidden="false" customHeight="true" outlineLevel="0" collapsed="false">
      <c r="A48" s="40" t="str">
        <f aca="false">IF(B48="","",ROW()-4)</f>
        <v/>
      </c>
      <c r="B48" s="41"/>
      <c r="C48" s="42"/>
      <c r="D48" s="42"/>
      <c r="E48" s="42"/>
      <c r="F48" s="42"/>
      <c r="G48" s="43"/>
      <c r="H48" s="41"/>
      <c r="I48" s="41"/>
    </row>
    <row r="49" customFormat="false" ht="18" hidden="false" customHeight="true" outlineLevel="0" collapsed="false">
      <c r="A49" s="40" t="str">
        <f aca="false">IF(B49="","",ROW()-4)</f>
        <v/>
      </c>
      <c r="B49" s="41"/>
      <c r="C49" s="42"/>
      <c r="D49" s="42"/>
      <c r="E49" s="42"/>
      <c r="F49" s="42"/>
      <c r="G49" s="43"/>
      <c r="H49" s="41"/>
      <c r="I49" s="41"/>
    </row>
    <row r="50" customFormat="false" ht="18" hidden="false" customHeight="true" outlineLevel="0" collapsed="false">
      <c r="A50" s="40" t="str">
        <f aca="false">IF(B50="","",ROW()-4)</f>
        <v/>
      </c>
      <c r="B50" s="41"/>
      <c r="C50" s="42"/>
      <c r="D50" s="42"/>
      <c r="E50" s="42"/>
      <c r="F50" s="42"/>
      <c r="G50" s="43"/>
      <c r="H50" s="41"/>
      <c r="I50" s="41"/>
    </row>
    <row r="51" customFormat="false" ht="18" hidden="false" customHeight="true" outlineLevel="0" collapsed="false">
      <c r="A51" s="40" t="str">
        <f aca="false">IF(B51="","",ROW()-4)</f>
        <v/>
      </c>
      <c r="B51" s="41"/>
      <c r="C51" s="42"/>
      <c r="D51" s="42"/>
      <c r="E51" s="42"/>
      <c r="F51" s="42"/>
      <c r="G51" s="43"/>
      <c r="H51" s="41"/>
      <c r="I51" s="41"/>
    </row>
    <row r="52" customFormat="false" ht="18" hidden="false" customHeight="true" outlineLevel="0" collapsed="false">
      <c r="A52" s="40" t="str">
        <f aca="false">IF(B52="","",ROW()-4)</f>
        <v/>
      </c>
      <c r="B52" s="41"/>
      <c r="C52" s="42"/>
      <c r="D52" s="42"/>
      <c r="E52" s="42"/>
      <c r="F52" s="42"/>
      <c r="G52" s="43"/>
      <c r="H52" s="41"/>
      <c r="I52" s="41"/>
    </row>
    <row r="53" customFormat="false" ht="18" hidden="false" customHeight="true" outlineLevel="0" collapsed="false">
      <c r="A53" s="40" t="str">
        <f aca="false">IF(B53="","",ROW()-4)</f>
        <v/>
      </c>
      <c r="B53" s="41"/>
      <c r="C53" s="42"/>
      <c r="D53" s="42"/>
      <c r="E53" s="42"/>
      <c r="F53" s="42"/>
      <c r="G53" s="43"/>
      <c r="H53" s="41"/>
      <c r="I53" s="41"/>
    </row>
    <row r="54" customFormat="false" ht="18" hidden="false" customHeight="true" outlineLevel="0" collapsed="false">
      <c r="A54" s="40" t="str">
        <f aca="false">IF(B54="","",ROW()-4)</f>
        <v/>
      </c>
      <c r="B54" s="41"/>
      <c r="C54" s="42"/>
      <c r="D54" s="42"/>
      <c r="E54" s="42"/>
      <c r="F54" s="42"/>
      <c r="G54" s="43"/>
      <c r="H54" s="41"/>
      <c r="I54" s="41"/>
    </row>
    <row r="55" customFormat="false" ht="18" hidden="false" customHeight="true" outlineLevel="0" collapsed="false">
      <c r="A55" s="40" t="str">
        <f aca="false">IF(B55="","",ROW()-4)</f>
        <v/>
      </c>
      <c r="B55" s="41"/>
      <c r="C55" s="42"/>
      <c r="D55" s="42"/>
      <c r="E55" s="42"/>
      <c r="F55" s="42"/>
      <c r="G55" s="43"/>
      <c r="H55" s="41"/>
      <c r="I55" s="41"/>
    </row>
    <row r="56" customFormat="false" ht="18" hidden="false" customHeight="true" outlineLevel="0" collapsed="false">
      <c r="A56" s="40" t="str">
        <f aca="false">IF(B56="","",ROW()-4)</f>
        <v/>
      </c>
      <c r="B56" s="41"/>
      <c r="C56" s="42"/>
      <c r="D56" s="42"/>
      <c r="E56" s="42"/>
      <c r="F56" s="42"/>
      <c r="G56" s="43"/>
      <c r="H56" s="41"/>
      <c r="I56" s="41"/>
    </row>
    <row r="57" customFormat="false" ht="18" hidden="false" customHeight="true" outlineLevel="0" collapsed="false">
      <c r="A57" s="40" t="str">
        <f aca="false">IF(B57="","",ROW()-4)</f>
        <v/>
      </c>
      <c r="B57" s="41"/>
      <c r="C57" s="42"/>
      <c r="D57" s="42"/>
      <c r="E57" s="42"/>
      <c r="F57" s="42"/>
      <c r="G57" s="43"/>
      <c r="H57" s="41"/>
      <c r="I57" s="41"/>
    </row>
    <row r="58" customFormat="false" ht="18" hidden="false" customHeight="true" outlineLevel="0" collapsed="false">
      <c r="A58" s="40" t="str">
        <f aca="false">IF(B58="","",ROW()-4)</f>
        <v/>
      </c>
      <c r="B58" s="41"/>
      <c r="C58" s="42"/>
      <c r="D58" s="42"/>
      <c r="E58" s="42"/>
      <c r="F58" s="42"/>
      <c r="G58" s="43"/>
      <c r="H58" s="41"/>
      <c r="I58" s="41"/>
    </row>
    <row r="59" customFormat="false" ht="18" hidden="false" customHeight="true" outlineLevel="0" collapsed="false">
      <c r="A59" s="40" t="str">
        <f aca="false">IF(B59="","",ROW()-4)</f>
        <v/>
      </c>
      <c r="B59" s="41"/>
      <c r="C59" s="42"/>
      <c r="D59" s="42"/>
      <c r="E59" s="42"/>
      <c r="F59" s="42"/>
      <c r="G59" s="43"/>
      <c r="H59" s="41"/>
      <c r="I59" s="41"/>
    </row>
    <row r="60" customFormat="false" ht="18" hidden="false" customHeight="true" outlineLevel="0" collapsed="false">
      <c r="A60" s="40" t="str">
        <f aca="false">IF(B60="","",ROW()-4)</f>
        <v/>
      </c>
      <c r="B60" s="41"/>
      <c r="C60" s="42"/>
      <c r="D60" s="42"/>
      <c r="E60" s="42"/>
      <c r="F60" s="42"/>
      <c r="G60" s="43"/>
      <c r="H60" s="41"/>
      <c r="I60" s="41"/>
    </row>
    <row r="61" customFormat="false" ht="18" hidden="false" customHeight="true" outlineLevel="0" collapsed="false">
      <c r="A61" s="40" t="str">
        <f aca="false">IF(B61="","",ROW()-4)</f>
        <v/>
      </c>
      <c r="B61" s="41"/>
      <c r="C61" s="42"/>
      <c r="D61" s="42"/>
      <c r="E61" s="42"/>
      <c r="F61" s="42"/>
      <c r="G61" s="43"/>
      <c r="H61" s="41"/>
      <c r="I61" s="41"/>
    </row>
    <row r="62" customFormat="false" ht="18" hidden="false" customHeight="true" outlineLevel="0" collapsed="false">
      <c r="A62" s="40" t="str">
        <f aca="false">IF(B62="","",ROW()-4)</f>
        <v/>
      </c>
      <c r="B62" s="41"/>
      <c r="C62" s="42"/>
      <c r="D62" s="42"/>
      <c r="E62" s="42"/>
      <c r="F62" s="42"/>
      <c r="G62" s="43"/>
      <c r="H62" s="41"/>
      <c r="I62" s="41"/>
    </row>
    <row r="63" customFormat="false" ht="18" hidden="false" customHeight="true" outlineLevel="0" collapsed="false">
      <c r="A63" s="40" t="str">
        <f aca="false">IF(B63="","",ROW()-4)</f>
        <v/>
      </c>
      <c r="B63" s="41"/>
      <c r="C63" s="42"/>
      <c r="D63" s="42"/>
      <c r="E63" s="42"/>
      <c r="F63" s="42"/>
      <c r="G63" s="43"/>
      <c r="H63" s="41"/>
      <c r="I63" s="41"/>
    </row>
    <row r="64" customFormat="false" ht="18" hidden="false" customHeight="true" outlineLevel="0" collapsed="false">
      <c r="A64" s="40" t="str">
        <f aca="false">IF(B64="","",ROW()-4)</f>
        <v/>
      </c>
      <c r="B64" s="41"/>
      <c r="C64" s="42"/>
      <c r="D64" s="42"/>
      <c r="E64" s="42"/>
      <c r="F64" s="42"/>
      <c r="G64" s="43"/>
      <c r="H64" s="41"/>
      <c r="I64" s="41"/>
    </row>
    <row r="65" customFormat="false" ht="18" hidden="false" customHeight="true" outlineLevel="0" collapsed="false">
      <c r="A65" s="40" t="str">
        <f aca="false">IF(B65="","",ROW()-4)</f>
        <v/>
      </c>
      <c r="B65" s="41"/>
      <c r="C65" s="42"/>
      <c r="D65" s="42"/>
      <c r="E65" s="42"/>
      <c r="F65" s="42"/>
      <c r="G65" s="43"/>
      <c r="H65" s="41"/>
      <c r="I65" s="41"/>
    </row>
    <row r="66" customFormat="false" ht="18" hidden="false" customHeight="true" outlineLevel="0" collapsed="false">
      <c r="A66" s="40" t="str">
        <f aca="false">IF(B66="","",ROW()-4)</f>
        <v/>
      </c>
      <c r="B66" s="41"/>
      <c r="C66" s="42"/>
      <c r="D66" s="42"/>
      <c r="E66" s="42"/>
      <c r="F66" s="42"/>
      <c r="G66" s="43"/>
      <c r="H66" s="41"/>
      <c r="I66" s="41"/>
    </row>
    <row r="67" customFormat="false" ht="18" hidden="false" customHeight="true" outlineLevel="0" collapsed="false">
      <c r="A67" s="40" t="str">
        <f aca="false">IF(B67="","",ROW()-4)</f>
        <v/>
      </c>
      <c r="B67" s="41"/>
      <c r="C67" s="42"/>
      <c r="D67" s="42"/>
      <c r="E67" s="42"/>
      <c r="F67" s="42"/>
      <c r="G67" s="43"/>
      <c r="H67" s="41"/>
      <c r="I67" s="41"/>
    </row>
    <row r="68" customFormat="false" ht="18" hidden="false" customHeight="true" outlineLevel="0" collapsed="false">
      <c r="A68" s="40" t="str">
        <f aca="false">IF(B68="","",ROW()-4)</f>
        <v/>
      </c>
      <c r="B68" s="41"/>
      <c r="C68" s="42"/>
      <c r="D68" s="42"/>
      <c r="E68" s="42"/>
      <c r="F68" s="42"/>
      <c r="G68" s="43"/>
      <c r="H68" s="41"/>
      <c r="I68" s="41"/>
    </row>
    <row r="69" customFormat="false" ht="18" hidden="false" customHeight="true" outlineLevel="0" collapsed="false">
      <c r="A69" s="40" t="str">
        <f aca="false">IF(B69="","",ROW()-4)</f>
        <v/>
      </c>
      <c r="B69" s="41"/>
      <c r="C69" s="42"/>
      <c r="D69" s="42"/>
      <c r="E69" s="42"/>
      <c r="F69" s="42"/>
      <c r="G69" s="43"/>
      <c r="H69" s="41"/>
      <c r="I69" s="41"/>
    </row>
    <row r="70" customFormat="false" ht="18" hidden="false" customHeight="true" outlineLevel="0" collapsed="false">
      <c r="A70" s="40" t="str">
        <f aca="false">IF(B70="","",ROW()-4)</f>
        <v/>
      </c>
      <c r="B70" s="41"/>
      <c r="C70" s="42"/>
      <c r="D70" s="42"/>
      <c r="E70" s="42"/>
      <c r="F70" s="42"/>
      <c r="G70" s="43"/>
      <c r="H70" s="41"/>
      <c r="I70" s="41"/>
    </row>
    <row r="71" customFormat="false" ht="18" hidden="false" customHeight="true" outlineLevel="0" collapsed="false">
      <c r="A71" s="40" t="str">
        <f aca="false">IF(B71="","",ROW()-4)</f>
        <v/>
      </c>
      <c r="B71" s="41"/>
      <c r="C71" s="42"/>
      <c r="D71" s="42"/>
      <c r="E71" s="42"/>
      <c r="F71" s="42"/>
      <c r="G71" s="43"/>
      <c r="H71" s="41"/>
      <c r="I71" s="41"/>
    </row>
    <row r="72" customFormat="false" ht="18" hidden="false" customHeight="true" outlineLevel="0" collapsed="false">
      <c r="A72" s="40" t="str">
        <f aca="false">IF(B72="","",ROW()-4)</f>
        <v/>
      </c>
      <c r="B72" s="41"/>
      <c r="C72" s="42"/>
      <c r="D72" s="42"/>
      <c r="E72" s="42"/>
      <c r="F72" s="42"/>
      <c r="G72" s="43"/>
      <c r="H72" s="41"/>
      <c r="I72" s="41"/>
    </row>
    <row r="73" customFormat="false" ht="18" hidden="false" customHeight="true" outlineLevel="0" collapsed="false">
      <c r="A73" s="40" t="str">
        <f aca="false">IF(B73="","",ROW()-4)</f>
        <v/>
      </c>
      <c r="B73" s="41"/>
      <c r="C73" s="42"/>
      <c r="D73" s="42"/>
      <c r="E73" s="42"/>
      <c r="F73" s="42"/>
      <c r="G73" s="43"/>
      <c r="H73" s="41"/>
      <c r="I73" s="41"/>
    </row>
    <row r="74" customFormat="false" ht="18" hidden="false" customHeight="true" outlineLevel="0" collapsed="false">
      <c r="A74" s="40" t="str">
        <f aca="false">IF(B74="","",ROW()-4)</f>
        <v/>
      </c>
      <c r="B74" s="41"/>
      <c r="C74" s="42"/>
      <c r="D74" s="42"/>
      <c r="E74" s="42"/>
      <c r="F74" s="42"/>
      <c r="G74" s="43"/>
      <c r="H74" s="41"/>
      <c r="I74" s="41"/>
    </row>
    <row r="75" customFormat="false" ht="18" hidden="false" customHeight="true" outlineLevel="0" collapsed="false">
      <c r="A75" s="40" t="str">
        <f aca="false">IF(B75="","",ROW()-4)</f>
        <v/>
      </c>
      <c r="B75" s="41"/>
      <c r="C75" s="42"/>
      <c r="D75" s="42"/>
      <c r="E75" s="42"/>
      <c r="F75" s="42"/>
      <c r="G75" s="43"/>
      <c r="H75" s="41"/>
      <c r="I75" s="41"/>
    </row>
    <row r="76" customFormat="false" ht="18" hidden="false" customHeight="true" outlineLevel="0" collapsed="false">
      <c r="A76" s="40" t="str">
        <f aca="false">IF(B76="","",ROW()-4)</f>
        <v/>
      </c>
      <c r="B76" s="41"/>
      <c r="C76" s="42"/>
      <c r="D76" s="42"/>
      <c r="E76" s="42"/>
      <c r="F76" s="42"/>
      <c r="G76" s="43"/>
      <c r="H76" s="41"/>
      <c r="I76" s="41"/>
    </row>
    <row r="77" customFormat="false" ht="18" hidden="false" customHeight="true" outlineLevel="0" collapsed="false">
      <c r="A77" s="40" t="str">
        <f aca="false">IF(B77="","",ROW()-4)</f>
        <v/>
      </c>
      <c r="B77" s="41"/>
      <c r="C77" s="42"/>
      <c r="D77" s="42"/>
      <c r="E77" s="42"/>
      <c r="F77" s="42"/>
      <c r="G77" s="43"/>
      <c r="H77" s="41"/>
      <c r="I77" s="41"/>
    </row>
    <row r="78" customFormat="false" ht="18" hidden="false" customHeight="true" outlineLevel="0" collapsed="false">
      <c r="A78" s="40" t="str">
        <f aca="false">IF(B78="","",ROW()-4)</f>
        <v/>
      </c>
      <c r="B78" s="41"/>
      <c r="C78" s="42"/>
      <c r="D78" s="42"/>
      <c r="E78" s="42"/>
      <c r="F78" s="42"/>
      <c r="G78" s="43"/>
      <c r="H78" s="41"/>
      <c r="I78" s="41"/>
    </row>
    <row r="79" customFormat="false" ht="18" hidden="false" customHeight="true" outlineLevel="0" collapsed="false">
      <c r="A79" s="40" t="str">
        <f aca="false">IF(B79="","",ROW()-4)</f>
        <v/>
      </c>
      <c r="B79" s="41"/>
      <c r="C79" s="42"/>
      <c r="D79" s="42"/>
      <c r="E79" s="42"/>
      <c r="F79" s="42"/>
      <c r="G79" s="43"/>
      <c r="H79" s="41"/>
      <c r="I79" s="41"/>
    </row>
    <row r="80" customFormat="false" ht="18" hidden="false" customHeight="true" outlineLevel="0" collapsed="false">
      <c r="A80" s="40" t="str">
        <f aca="false">IF(B80="","",ROW()-4)</f>
        <v/>
      </c>
      <c r="B80" s="41"/>
      <c r="C80" s="42"/>
      <c r="D80" s="42"/>
      <c r="E80" s="42"/>
      <c r="F80" s="42"/>
      <c r="G80" s="43"/>
      <c r="H80" s="41"/>
      <c r="I80" s="41"/>
    </row>
    <row r="81" customFormat="false" ht="18" hidden="false" customHeight="true" outlineLevel="0" collapsed="false">
      <c r="A81" s="40" t="str">
        <f aca="false">IF(B81="","",ROW()-4)</f>
        <v/>
      </c>
      <c r="B81" s="41"/>
      <c r="C81" s="42"/>
      <c r="D81" s="42"/>
      <c r="E81" s="42"/>
      <c r="F81" s="42"/>
      <c r="G81" s="43"/>
      <c r="H81" s="41"/>
      <c r="I81" s="41"/>
    </row>
    <row r="82" customFormat="false" ht="18" hidden="false" customHeight="true" outlineLevel="0" collapsed="false">
      <c r="A82" s="40" t="str">
        <f aca="false">IF(B82="","",ROW()-4)</f>
        <v/>
      </c>
      <c r="B82" s="41"/>
      <c r="C82" s="42"/>
      <c r="D82" s="42"/>
      <c r="E82" s="42"/>
      <c r="F82" s="42"/>
      <c r="G82" s="43"/>
      <c r="H82" s="41"/>
      <c r="I82" s="41"/>
    </row>
    <row r="83" customFormat="false" ht="18" hidden="false" customHeight="true" outlineLevel="0" collapsed="false">
      <c r="A83" s="40" t="str">
        <f aca="false">IF(B83="","",ROW()-4)</f>
        <v/>
      </c>
      <c r="B83" s="41"/>
      <c r="C83" s="42"/>
      <c r="D83" s="42"/>
      <c r="E83" s="42"/>
      <c r="F83" s="42"/>
      <c r="G83" s="43"/>
      <c r="H83" s="41"/>
      <c r="I83" s="41"/>
    </row>
    <row r="84" customFormat="false" ht="18" hidden="false" customHeight="true" outlineLevel="0" collapsed="false">
      <c r="A84" s="40" t="str">
        <f aca="false">IF(B84="","",ROW()-4)</f>
        <v/>
      </c>
      <c r="B84" s="41"/>
      <c r="C84" s="42"/>
      <c r="D84" s="42"/>
      <c r="E84" s="42"/>
      <c r="F84" s="42"/>
      <c r="G84" s="43"/>
      <c r="H84" s="41"/>
      <c r="I84" s="41"/>
    </row>
    <row r="85" customFormat="false" ht="18" hidden="false" customHeight="true" outlineLevel="0" collapsed="false">
      <c r="A85" s="40" t="str">
        <f aca="false">IF(B85="","",ROW()-4)</f>
        <v/>
      </c>
      <c r="B85" s="41"/>
      <c r="C85" s="42"/>
      <c r="D85" s="42"/>
      <c r="E85" s="42"/>
      <c r="F85" s="42"/>
      <c r="G85" s="43"/>
      <c r="H85" s="41"/>
      <c r="I85" s="41"/>
    </row>
    <row r="86" customFormat="false" ht="18" hidden="false" customHeight="true" outlineLevel="0" collapsed="false">
      <c r="A86" s="40" t="str">
        <f aca="false">IF(B86="","",ROW()-4)</f>
        <v/>
      </c>
      <c r="B86" s="41"/>
      <c r="C86" s="42"/>
      <c r="D86" s="42"/>
      <c r="E86" s="42"/>
      <c r="F86" s="42"/>
      <c r="G86" s="43"/>
      <c r="H86" s="41"/>
      <c r="I86" s="41"/>
    </row>
    <row r="87" customFormat="false" ht="18" hidden="false" customHeight="true" outlineLevel="0" collapsed="false">
      <c r="A87" s="40" t="str">
        <f aca="false">IF(B87="","",ROW()-4)</f>
        <v/>
      </c>
      <c r="B87" s="41"/>
      <c r="C87" s="42"/>
      <c r="D87" s="42"/>
      <c r="E87" s="42"/>
      <c r="F87" s="42"/>
      <c r="G87" s="43"/>
      <c r="H87" s="41"/>
      <c r="I87" s="41"/>
    </row>
    <row r="88" customFormat="false" ht="18" hidden="false" customHeight="true" outlineLevel="0" collapsed="false">
      <c r="A88" s="40" t="str">
        <f aca="false">IF(B88="","",ROW()-4)</f>
        <v/>
      </c>
      <c r="B88" s="41"/>
      <c r="C88" s="42"/>
      <c r="D88" s="42"/>
      <c r="E88" s="42"/>
      <c r="F88" s="42"/>
      <c r="G88" s="43"/>
      <c r="H88" s="41"/>
      <c r="I88" s="41"/>
    </row>
    <row r="89" customFormat="false" ht="18" hidden="false" customHeight="true" outlineLevel="0" collapsed="false">
      <c r="A89" s="40" t="str">
        <f aca="false">IF(B89="","",ROW()-4)</f>
        <v/>
      </c>
      <c r="B89" s="41"/>
      <c r="C89" s="42"/>
      <c r="D89" s="42"/>
      <c r="E89" s="42"/>
      <c r="F89" s="42"/>
      <c r="G89" s="43"/>
      <c r="H89" s="41"/>
      <c r="I89" s="41"/>
    </row>
    <row r="90" customFormat="false" ht="18" hidden="false" customHeight="true" outlineLevel="0" collapsed="false">
      <c r="A90" s="40" t="str">
        <f aca="false">IF(B90="","",ROW()-4)</f>
        <v/>
      </c>
      <c r="B90" s="41"/>
      <c r="C90" s="42"/>
      <c r="D90" s="42"/>
      <c r="E90" s="42"/>
      <c r="F90" s="42"/>
      <c r="G90" s="43"/>
      <c r="H90" s="41"/>
      <c r="I90" s="41"/>
    </row>
    <row r="91" customFormat="false" ht="18" hidden="false" customHeight="true" outlineLevel="0" collapsed="false">
      <c r="A91" s="40" t="str">
        <f aca="false">IF(B91="","",ROW()-4)</f>
        <v/>
      </c>
      <c r="B91" s="41"/>
      <c r="C91" s="42"/>
      <c r="D91" s="42"/>
      <c r="E91" s="42"/>
      <c r="F91" s="42"/>
      <c r="G91" s="43"/>
      <c r="H91" s="41"/>
      <c r="I91" s="41"/>
    </row>
    <row r="92" customFormat="false" ht="18" hidden="false" customHeight="true" outlineLevel="0" collapsed="false">
      <c r="A92" s="40" t="str">
        <f aca="false">IF(B92="","",ROW()-4)</f>
        <v/>
      </c>
      <c r="B92" s="41"/>
      <c r="C92" s="42"/>
      <c r="D92" s="42"/>
      <c r="E92" s="42"/>
      <c r="F92" s="42"/>
      <c r="G92" s="43"/>
      <c r="H92" s="41"/>
      <c r="I92" s="41"/>
    </row>
    <row r="93" customFormat="false" ht="18" hidden="false" customHeight="true" outlineLevel="0" collapsed="false">
      <c r="A93" s="40" t="str">
        <f aca="false">IF(B93="","",ROW()-4)</f>
        <v/>
      </c>
      <c r="B93" s="41"/>
      <c r="C93" s="42"/>
      <c r="D93" s="42"/>
      <c r="E93" s="42"/>
      <c r="F93" s="42"/>
      <c r="G93" s="43"/>
      <c r="H93" s="41"/>
      <c r="I93" s="41"/>
    </row>
    <row r="94" customFormat="false" ht="18" hidden="false" customHeight="true" outlineLevel="0" collapsed="false">
      <c r="A94" s="40" t="str">
        <f aca="false">IF(B94="","",ROW()-4)</f>
        <v/>
      </c>
      <c r="B94" s="41"/>
      <c r="C94" s="42"/>
      <c r="D94" s="42"/>
      <c r="E94" s="42"/>
      <c r="F94" s="42"/>
      <c r="G94" s="43"/>
      <c r="H94" s="41"/>
      <c r="I94" s="41"/>
    </row>
    <row r="95" customFormat="false" ht="18" hidden="false" customHeight="true" outlineLevel="0" collapsed="false">
      <c r="A95" s="40" t="str">
        <f aca="false">IF(B95="","",ROW()-4)</f>
        <v/>
      </c>
      <c r="B95" s="41"/>
      <c r="C95" s="42"/>
      <c r="D95" s="42"/>
      <c r="E95" s="42"/>
      <c r="F95" s="42"/>
      <c r="G95" s="43"/>
      <c r="H95" s="41"/>
      <c r="I95" s="41"/>
    </row>
    <row r="96" customFormat="false" ht="18" hidden="false" customHeight="true" outlineLevel="0" collapsed="false">
      <c r="A96" s="40" t="str">
        <f aca="false">IF(B96="","",ROW()-4)</f>
        <v/>
      </c>
      <c r="B96" s="41"/>
      <c r="C96" s="42"/>
      <c r="D96" s="42"/>
      <c r="E96" s="42"/>
      <c r="F96" s="42"/>
      <c r="G96" s="43"/>
      <c r="H96" s="41"/>
      <c r="I96" s="41"/>
    </row>
    <row r="97" customFormat="false" ht="18" hidden="false" customHeight="true" outlineLevel="0" collapsed="false">
      <c r="A97" s="40" t="str">
        <f aca="false">IF(B97="","",ROW()-4)</f>
        <v/>
      </c>
      <c r="B97" s="41"/>
      <c r="C97" s="42"/>
      <c r="D97" s="42"/>
      <c r="E97" s="42"/>
      <c r="F97" s="42"/>
      <c r="G97" s="43"/>
      <c r="H97" s="41"/>
      <c r="I97" s="41"/>
    </row>
    <row r="98" customFormat="false" ht="18" hidden="false" customHeight="true" outlineLevel="0" collapsed="false">
      <c r="A98" s="40" t="str">
        <f aca="false">IF(B98="","",ROW()-4)</f>
        <v/>
      </c>
      <c r="B98" s="41"/>
      <c r="C98" s="42"/>
      <c r="D98" s="42"/>
      <c r="E98" s="42"/>
      <c r="F98" s="42"/>
      <c r="G98" s="43"/>
      <c r="H98" s="41"/>
      <c r="I98" s="41"/>
    </row>
    <row r="99" customFormat="false" ht="18" hidden="false" customHeight="true" outlineLevel="0" collapsed="false">
      <c r="A99" s="40" t="str">
        <f aca="false">IF(B99="","",ROW()-4)</f>
        <v/>
      </c>
      <c r="B99" s="41"/>
      <c r="C99" s="42"/>
      <c r="D99" s="42"/>
      <c r="E99" s="42"/>
      <c r="F99" s="42"/>
      <c r="G99" s="43"/>
      <c r="H99" s="41"/>
      <c r="I99" s="41"/>
    </row>
    <row r="100" customFormat="false" ht="18" hidden="false" customHeight="true" outlineLevel="0" collapsed="false">
      <c r="A100" s="40" t="str">
        <f aca="false">IF(B100="","",ROW()-4)</f>
        <v/>
      </c>
      <c r="B100" s="41"/>
      <c r="C100" s="42"/>
      <c r="D100" s="42"/>
      <c r="E100" s="42"/>
      <c r="F100" s="42"/>
      <c r="G100" s="43"/>
      <c r="H100" s="41"/>
      <c r="I100" s="41"/>
    </row>
    <row r="101" customFormat="false" ht="18" hidden="false" customHeight="true" outlineLevel="0" collapsed="false">
      <c r="A101" s="40" t="str">
        <f aca="false">IF(B101="","",ROW()-4)</f>
        <v/>
      </c>
      <c r="B101" s="41"/>
      <c r="C101" s="42"/>
      <c r="D101" s="42"/>
      <c r="E101" s="42"/>
      <c r="F101" s="42"/>
      <c r="G101" s="43"/>
      <c r="H101" s="41"/>
      <c r="I101" s="41"/>
    </row>
    <row r="102" customFormat="false" ht="18" hidden="false" customHeight="true" outlineLevel="0" collapsed="false">
      <c r="A102" s="40" t="str">
        <f aca="false">IF(B102="","",ROW()-4)</f>
        <v/>
      </c>
      <c r="B102" s="41"/>
      <c r="C102" s="42"/>
      <c r="D102" s="42"/>
      <c r="E102" s="42"/>
      <c r="F102" s="42"/>
      <c r="G102" s="43"/>
      <c r="H102" s="41"/>
      <c r="I102" s="41"/>
    </row>
    <row r="103" customFormat="false" ht="18" hidden="false" customHeight="true" outlineLevel="0" collapsed="false">
      <c r="A103" s="40" t="str">
        <f aca="false">IF(B103="","",ROW()-4)</f>
        <v/>
      </c>
      <c r="B103" s="41"/>
      <c r="C103" s="42"/>
      <c r="D103" s="42"/>
      <c r="E103" s="42"/>
      <c r="F103" s="42"/>
      <c r="G103" s="43"/>
      <c r="H103" s="41"/>
      <c r="I103" s="41"/>
    </row>
    <row r="104" customFormat="false" ht="18" hidden="false" customHeight="true" outlineLevel="0" collapsed="false">
      <c r="A104" s="40" t="str">
        <f aca="false">IF(B104="","",ROW()-4)</f>
        <v/>
      </c>
      <c r="B104" s="41"/>
      <c r="C104" s="42"/>
      <c r="D104" s="42"/>
      <c r="E104" s="42"/>
      <c r="F104" s="42"/>
      <c r="G104" s="43"/>
      <c r="H104" s="41"/>
      <c r="I104" s="41"/>
    </row>
    <row r="105" customFormat="false" ht="18" hidden="false" customHeight="true" outlineLevel="0" collapsed="false">
      <c r="A105" s="40" t="str">
        <f aca="false">IF(B105="","",ROW()-4)</f>
        <v/>
      </c>
      <c r="B105" s="41"/>
      <c r="C105" s="42"/>
      <c r="D105" s="42"/>
      <c r="E105" s="42"/>
      <c r="F105" s="42"/>
      <c r="G105" s="43"/>
      <c r="H105" s="41"/>
      <c r="I105" s="41"/>
    </row>
    <row r="106" customFormat="false" ht="18" hidden="false" customHeight="true" outlineLevel="0" collapsed="false">
      <c r="A106" s="40" t="str">
        <f aca="false">IF(B106="","",ROW()-4)</f>
        <v/>
      </c>
      <c r="B106" s="41"/>
      <c r="C106" s="42"/>
      <c r="D106" s="42"/>
      <c r="E106" s="42"/>
      <c r="F106" s="42"/>
      <c r="G106" s="43"/>
      <c r="H106" s="41"/>
      <c r="I106" s="41"/>
    </row>
    <row r="107" customFormat="false" ht="18" hidden="false" customHeight="true" outlineLevel="0" collapsed="false">
      <c r="A107" s="40" t="str">
        <f aca="false">IF(B107="","",ROW()-4)</f>
        <v/>
      </c>
      <c r="B107" s="41"/>
      <c r="C107" s="42"/>
      <c r="D107" s="42"/>
      <c r="E107" s="42"/>
      <c r="F107" s="42"/>
      <c r="G107" s="43"/>
      <c r="H107" s="41"/>
      <c r="I107" s="41"/>
    </row>
    <row r="108" customFormat="false" ht="18" hidden="false" customHeight="true" outlineLevel="0" collapsed="false">
      <c r="A108" s="40" t="str">
        <f aca="false">IF(B108="","",ROW()-4)</f>
        <v/>
      </c>
      <c r="B108" s="41"/>
      <c r="C108" s="42"/>
      <c r="D108" s="42"/>
      <c r="E108" s="42"/>
      <c r="F108" s="42"/>
      <c r="G108" s="43"/>
      <c r="H108" s="41"/>
      <c r="I108" s="41"/>
    </row>
    <row r="109" customFormat="false" ht="18" hidden="false" customHeight="true" outlineLevel="0" collapsed="false">
      <c r="A109" s="40" t="str">
        <f aca="false">IF(B109="","",ROW()-4)</f>
        <v/>
      </c>
      <c r="B109" s="41"/>
      <c r="C109" s="42"/>
      <c r="D109" s="42"/>
      <c r="E109" s="42"/>
      <c r="F109" s="42"/>
      <c r="G109" s="43"/>
      <c r="H109" s="41"/>
      <c r="I109" s="41"/>
    </row>
    <row r="110" customFormat="false" ht="18" hidden="false" customHeight="true" outlineLevel="0" collapsed="false">
      <c r="A110" s="40" t="str">
        <f aca="false">IF(B110="","",ROW()-4)</f>
        <v/>
      </c>
      <c r="B110" s="41"/>
      <c r="C110" s="42"/>
      <c r="D110" s="42"/>
      <c r="E110" s="42"/>
      <c r="F110" s="42"/>
      <c r="G110" s="43"/>
      <c r="H110" s="41"/>
      <c r="I110" s="41"/>
    </row>
    <row r="111" customFormat="false" ht="18" hidden="false" customHeight="true" outlineLevel="0" collapsed="false">
      <c r="A111" s="40" t="str">
        <f aca="false">IF(B111="","",ROW()-4)</f>
        <v/>
      </c>
      <c r="B111" s="41"/>
      <c r="C111" s="42"/>
      <c r="D111" s="42"/>
      <c r="E111" s="42"/>
      <c r="F111" s="42"/>
      <c r="G111" s="43"/>
      <c r="H111" s="41"/>
      <c r="I111" s="41"/>
    </row>
    <row r="112" customFormat="false" ht="18" hidden="false" customHeight="true" outlineLevel="0" collapsed="false">
      <c r="A112" s="40" t="str">
        <f aca="false">IF(B112="","",ROW()-4)</f>
        <v/>
      </c>
      <c r="B112" s="41"/>
      <c r="C112" s="42"/>
      <c r="D112" s="42"/>
      <c r="E112" s="42"/>
      <c r="F112" s="42"/>
      <c r="G112" s="43"/>
      <c r="H112" s="41"/>
      <c r="I112" s="41"/>
    </row>
    <row r="113" customFormat="false" ht="18" hidden="false" customHeight="true" outlineLevel="0" collapsed="false">
      <c r="A113" s="40" t="str">
        <f aca="false">IF(B113="","",ROW()-4)</f>
        <v/>
      </c>
      <c r="B113" s="41"/>
      <c r="C113" s="42"/>
      <c r="D113" s="42"/>
      <c r="E113" s="42"/>
      <c r="F113" s="42"/>
      <c r="G113" s="43"/>
      <c r="H113" s="41"/>
      <c r="I113" s="41"/>
    </row>
    <row r="114" customFormat="false" ht="18" hidden="false" customHeight="true" outlineLevel="0" collapsed="false">
      <c r="A114" s="40" t="str">
        <f aca="false">IF(B114="","",ROW()-4)</f>
        <v/>
      </c>
      <c r="B114" s="41"/>
      <c r="C114" s="42"/>
      <c r="D114" s="42"/>
      <c r="E114" s="42"/>
      <c r="F114" s="42"/>
      <c r="G114" s="43"/>
      <c r="H114" s="41"/>
      <c r="I114" s="41"/>
    </row>
    <row r="115" customFormat="false" ht="18" hidden="false" customHeight="true" outlineLevel="0" collapsed="false">
      <c r="A115" s="40" t="str">
        <f aca="false">IF(B115="","",ROW()-4)</f>
        <v/>
      </c>
      <c r="B115" s="41"/>
      <c r="C115" s="42"/>
      <c r="D115" s="42"/>
      <c r="E115" s="42"/>
      <c r="F115" s="42"/>
      <c r="G115" s="43"/>
      <c r="H115" s="41"/>
      <c r="I115" s="41"/>
    </row>
    <row r="116" customFormat="false" ht="18" hidden="false" customHeight="true" outlineLevel="0" collapsed="false">
      <c r="A116" s="40" t="str">
        <f aca="false">IF(B116="","",ROW()-4)</f>
        <v/>
      </c>
      <c r="B116" s="41"/>
      <c r="C116" s="42"/>
      <c r="D116" s="42"/>
      <c r="E116" s="42"/>
      <c r="F116" s="42"/>
      <c r="G116" s="43"/>
      <c r="H116" s="41"/>
      <c r="I116" s="41"/>
    </row>
    <row r="117" customFormat="false" ht="18" hidden="false" customHeight="true" outlineLevel="0" collapsed="false">
      <c r="A117" s="40" t="str">
        <f aca="false">IF(B117="","",ROW()-4)</f>
        <v/>
      </c>
      <c r="B117" s="41"/>
      <c r="C117" s="42"/>
      <c r="D117" s="42"/>
      <c r="E117" s="42"/>
      <c r="F117" s="42"/>
      <c r="G117" s="43"/>
      <c r="H117" s="41"/>
      <c r="I117" s="41"/>
    </row>
    <row r="118" customFormat="false" ht="18" hidden="false" customHeight="true" outlineLevel="0" collapsed="false">
      <c r="A118" s="40" t="str">
        <f aca="false">IF(B118="","",ROW()-4)</f>
        <v/>
      </c>
      <c r="B118" s="41"/>
      <c r="C118" s="42"/>
      <c r="D118" s="42"/>
      <c r="E118" s="42"/>
      <c r="F118" s="42"/>
      <c r="G118" s="43"/>
      <c r="H118" s="41"/>
      <c r="I118" s="41"/>
    </row>
    <row r="119" customFormat="false" ht="18" hidden="false" customHeight="true" outlineLevel="0" collapsed="false">
      <c r="A119" s="40" t="str">
        <f aca="false">IF(B119="","",ROW()-4)</f>
        <v/>
      </c>
      <c r="B119" s="41"/>
      <c r="C119" s="42"/>
      <c r="D119" s="42"/>
      <c r="E119" s="42"/>
      <c r="F119" s="42"/>
      <c r="G119" s="43"/>
      <c r="H119" s="41"/>
      <c r="I119" s="41"/>
    </row>
    <row r="120" customFormat="false" ht="18" hidden="false" customHeight="true" outlineLevel="0" collapsed="false">
      <c r="A120" s="40" t="str">
        <f aca="false">IF(B120="","",ROW()-4)</f>
        <v/>
      </c>
      <c r="B120" s="41"/>
      <c r="C120" s="42"/>
      <c r="D120" s="42"/>
      <c r="E120" s="42"/>
      <c r="F120" s="42"/>
      <c r="G120" s="43"/>
      <c r="H120" s="41"/>
      <c r="I120" s="41"/>
    </row>
    <row r="121" customFormat="false" ht="18" hidden="false" customHeight="true" outlineLevel="0" collapsed="false">
      <c r="A121" s="40" t="str">
        <f aca="false">IF(B121="","",ROW()-4)</f>
        <v/>
      </c>
      <c r="B121" s="41"/>
      <c r="C121" s="42"/>
      <c r="D121" s="42"/>
      <c r="E121" s="42"/>
      <c r="F121" s="42"/>
      <c r="G121" s="43"/>
      <c r="H121" s="41"/>
      <c r="I121" s="41"/>
    </row>
    <row r="122" customFormat="false" ht="18" hidden="false" customHeight="true" outlineLevel="0" collapsed="false">
      <c r="A122" s="40" t="str">
        <f aca="false">IF(B122="","",ROW()-4)</f>
        <v/>
      </c>
      <c r="B122" s="41"/>
      <c r="C122" s="42"/>
      <c r="D122" s="42"/>
      <c r="E122" s="42"/>
      <c r="F122" s="42"/>
      <c r="G122" s="43"/>
      <c r="H122" s="41"/>
      <c r="I122" s="41"/>
    </row>
    <row r="123" customFormat="false" ht="18" hidden="false" customHeight="true" outlineLevel="0" collapsed="false">
      <c r="A123" s="40" t="str">
        <f aca="false">IF(B123="","",ROW()-4)</f>
        <v/>
      </c>
      <c r="B123" s="41"/>
      <c r="C123" s="42"/>
      <c r="D123" s="42"/>
      <c r="E123" s="42"/>
      <c r="F123" s="42"/>
      <c r="G123" s="43"/>
      <c r="H123" s="41"/>
      <c r="I123" s="41"/>
    </row>
    <row r="124" customFormat="false" ht="18" hidden="false" customHeight="true" outlineLevel="0" collapsed="false">
      <c r="A124" s="40" t="str">
        <f aca="false">IF(B124="","",ROW()-4)</f>
        <v/>
      </c>
      <c r="B124" s="41"/>
      <c r="C124" s="42"/>
      <c r="D124" s="42"/>
      <c r="E124" s="42"/>
      <c r="F124" s="42"/>
      <c r="G124" s="43"/>
      <c r="H124" s="41"/>
      <c r="I124" s="41"/>
    </row>
    <row r="125" customFormat="false" ht="18" hidden="false" customHeight="true" outlineLevel="0" collapsed="false">
      <c r="A125" s="40" t="str">
        <f aca="false">IF(B125="","",ROW()-4)</f>
        <v/>
      </c>
      <c r="B125" s="41"/>
      <c r="C125" s="42"/>
      <c r="D125" s="42"/>
      <c r="E125" s="42"/>
      <c r="F125" s="42"/>
      <c r="G125" s="43"/>
      <c r="H125" s="41"/>
      <c r="I125" s="41"/>
    </row>
    <row r="126" customFormat="false" ht="18" hidden="false" customHeight="true" outlineLevel="0" collapsed="false">
      <c r="A126" s="40" t="str">
        <f aca="false">IF(B126="","",ROW()-4)</f>
        <v/>
      </c>
      <c r="B126" s="41"/>
      <c r="C126" s="42"/>
      <c r="D126" s="42"/>
      <c r="E126" s="42"/>
      <c r="F126" s="42"/>
      <c r="G126" s="43"/>
      <c r="H126" s="41"/>
      <c r="I126" s="41"/>
    </row>
    <row r="127" customFormat="false" ht="18" hidden="false" customHeight="true" outlineLevel="0" collapsed="false">
      <c r="A127" s="40" t="str">
        <f aca="false">IF(B127="","",ROW()-4)</f>
        <v/>
      </c>
      <c r="B127" s="41"/>
      <c r="C127" s="42"/>
      <c r="D127" s="42"/>
      <c r="E127" s="42"/>
      <c r="F127" s="42"/>
      <c r="G127" s="43"/>
      <c r="H127" s="41"/>
      <c r="I127" s="41"/>
    </row>
    <row r="128" customFormat="false" ht="18" hidden="false" customHeight="true" outlineLevel="0" collapsed="false">
      <c r="A128" s="40" t="str">
        <f aca="false">IF(B128="","",ROW()-4)</f>
        <v/>
      </c>
      <c r="B128" s="41"/>
      <c r="C128" s="42"/>
      <c r="D128" s="42"/>
      <c r="E128" s="42"/>
      <c r="F128" s="42"/>
      <c r="G128" s="43"/>
      <c r="H128" s="41"/>
      <c r="I128" s="41"/>
    </row>
    <row r="129" customFormat="false" ht="18" hidden="false" customHeight="true" outlineLevel="0" collapsed="false">
      <c r="A129" s="40" t="str">
        <f aca="false">IF(B129="","",ROW()-4)</f>
        <v/>
      </c>
      <c r="B129" s="41"/>
      <c r="C129" s="42"/>
      <c r="D129" s="42"/>
      <c r="E129" s="42"/>
      <c r="F129" s="42"/>
      <c r="G129" s="43"/>
      <c r="H129" s="41"/>
      <c r="I129" s="41"/>
    </row>
    <row r="130" customFormat="false" ht="18" hidden="false" customHeight="true" outlineLevel="0" collapsed="false">
      <c r="A130" s="40" t="str">
        <f aca="false">IF(B130="","",ROW()-4)</f>
        <v/>
      </c>
      <c r="B130" s="41"/>
      <c r="C130" s="42"/>
      <c r="D130" s="42"/>
      <c r="E130" s="42"/>
      <c r="F130" s="42"/>
      <c r="G130" s="43"/>
      <c r="H130" s="41"/>
      <c r="I130" s="41"/>
    </row>
    <row r="131" customFormat="false" ht="18" hidden="false" customHeight="true" outlineLevel="0" collapsed="false">
      <c r="A131" s="40" t="str">
        <f aca="false">IF(B131="","",ROW()-4)</f>
        <v/>
      </c>
      <c r="B131" s="41"/>
      <c r="C131" s="42"/>
      <c r="D131" s="42"/>
      <c r="E131" s="42"/>
      <c r="F131" s="42"/>
      <c r="G131" s="43"/>
      <c r="H131" s="41"/>
      <c r="I131" s="41"/>
    </row>
    <row r="132" customFormat="false" ht="18" hidden="false" customHeight="true" outlineLevel="0" collapsed="false">
      <c r="A132" s="40" t="str">
        <f aca="false">IF(B132="","",ROW()-4)</f>
        <v/>
      </c>
      <c r="B132" s="41"/>
      <c r="C132" s="42"/>
      <c r="D132" s="42"/>
      <c r="E132" s="42"/>
      <c r="F132" s="42"/>
      <c r="G132" s="43"/>
      <c r="H132" s="41"/>
      <c r="I132" s="41"/>
    </row>
    <row r="133" customFormat="false" ht="18" hidden="false" customHeight="true" outlineLevel="0" collapsed="false">
      <c r="A133" s="40" t="str">
        <f aca="false">IF(B133="","",ROW()-4)</f>
        <v/>
      </c>
      <c r="B133" s="41"/>
      <c r="C133" s="42"/>
      <c r="D133" s="42"/>
      <c r="E133" s="42"/>
      <c r="F133" s="42"/>
      <c r="G133" s="43"/>
      <c r="H133" s="41"/>
      <c r="I133" s="41"/>
    </row>
    <row r="134" customFormat="false" ht="18" hidden="false" customHeight="true" outlineLevel="0" collapsed="false">
      <c r="A134" s="40" t="str">
        <f aca="false">IF(B134="","",ROW()-4)</f>
        <v/>
      </c>
      <c r="B134" s="41"/>
      <c r="C134" s="42"/>
      <c r="D134" s="42"/>
      <c r="E134" s="42"/>
      <c r="F134" s="42"/>
      <c r="G134" s="43"/>
      <c r="H134" s="41"/>
      <c r="I134" s="41"/>
    </row>
    <row r="135" customFormat="false" ht="18" hidden="false" customHeight="true" outlineLevel="0" collapsed="false">
      <c r="A135" s="40" t="str">
        <f aca="false">IF(B135="","",ROW()-4)</f>
        <v/>
      </c>
      <c r="B135" s="41"/>
      <c r="C135" s="42"/>
      <c r="D135" s="42"/>
      <c r="E135" s="42"/>
      <c r="F135" s="42"/>
      <c r="G135" s="43"/>
      <c r="H135" s="41"/>
      <c r="I135" s="41"/>
    </row>
    <row r="136" customFormat="false" ht="18" hidden="false" customHeight="true" outlineLevel="0" collapsed="false">
      <c r="A136" s="40" t="str">
        <f aca="false">IF(B136="","",ROW()-4)</f>
        <v/>
      </c>
      <c r="B136" s="41"/>
      <c r="C136" s="42"/>
      <c r="D136" s="42"/>
      <c r="E136" s="42"/>
      <c r="F136" s="42"/>
      <c r="G136" s="43"/>
      <c r="H136" s="41"/>
      <c r="I136" s="41"/>
    </row>
    <row r="137" customFormat="false" ht="18" hidden="false" customHeight="true" outlineLevel="0" collapsed="false">
      <c r="A137" s="40" t="str">
        <f aca="false">IF(B137="","",ROW()-4)</f>
        <v/>
      </c>
      <c r="B137" s="41"/>
      <c r="C137" s="42"/>
      <c r="D137" s="42"/>
      <c r="E137" s="42"/>
      <c r="F137" s="42"/>
      <c r="G137" s="43"/>
      <c r="H137" s="41"/>
      <c r="I137" s="41"/>
    </row>
    <row r="138" customFormat="false" ht="18" hidden="false" customHeight="true" outlineLevel="0" collapsed="false">
      <c r="A138" s="40" t="str">
        <f aca="false">IF(B138="","",ROW()-4)</f>
        <v/>
      </c>
      <c r="B138" s="41"/>
      <c r="C138" s="42"/>
      <c r="D138" s="42"/>
      <c r="E138" s="42"/>
      <c r="F138" s="42"/>
      <c r="G138" s="43"/>
      <c r="H138" s="41"/>
      <c r="I138" s="41"/>
    </row>
    <row r="139" customFormat="false" ht="18" hidden="false" customHeight="true" outlineLevel="0" collapsed="false">
      <c r="A139" s="40" t="str">
        <f aca="false">IF(B139="","",ROW()-4)</f>
        <v/>
      </c>
      <c r="B139" s="41"/>
      <c r="C139" s="42"/>
      <c r="D139" s="42"/>
      <c r="E139" s="42"/>
      <c r="F139" s="42"/>
      <c r="G139" s="43"/>
      <c r="H139" s="41"/>
      <c r="I139" s="41"/>
    </row>
    <row r="140" customFormat="false" ht="18" hidden="false" customHeight="true" outlineLevel="0" collapsed="false">
      <c r="A140" s="40" t="str">
        <f aca="false">IF(B140="","",ROW()-4)</f>
        <v/>
      </c>
      <c r="B140" s="41"/>
      <c r="C140" s="42"/>
      <c r="D140" s="42"/>
      <c r="E140" s="42"/>
      <c r="F140" s="42"/>
      <c r="G140" s="43"/>
      <c r="H140" s="41"/>
      <c r="I140" s="41"/>
    </row>
    <row r="141" customFormat="false" ht="18" hidden="false" customHeight="true" outlineLevel="0" collapsed="false">
      <c r="A141" s="40" t="str">
        <f aca="false">IF(B141="","",ROW()-4)</f>
        <v/>
      </c>
      <c r="B141" s="41"/>
      <c r="C141" s="42"/>
      <c r="D141" s="42"/>
      <c r="E141" s="42"/>
      <c r="F141" s="42"/>
      <c r="G141" s="43"/>
      <c r="H141" s="41"/>
      <c r="I141" s="41"/>
    </row>
    <row r="142" customFormat="false" ht="18" hidden="false" customHeight="true" outlineLevel="0" collapsed="false">
      <c r="A142" s="40" t="str">
        <f aca="false">IF(B142="","",ROW()-4)</f>
        <v/>
      </c>
      <c r="B142" s="41"/>
      <c r="C142" s="42"/>
      <c r="D142" s="42"/>
      <c r="E142" s="42"/>
      <c r="F142" s="42"/>
      <c r="G142" s="43"/>
      <c r="H142" s="41"/>
      <c r="I142" s="41"/>
    </row>
    <row r="143" customFormat="false" ht="18" hidden="false" customHeight="true" outlineLevel="0" collapsed="false">
      <c r="A143" s="40" t="str">
        <f aca="false">IF(B143="","",ROW()-4)</f>
        <v/>
      </c>
      <c r="B143" s="41"/>
      <c r="C143" s="42"/>
      <c r="D143" s="42"/>
      <c r="E143" s="42"/>
      <c r="F143" s="42"/>
      <c r="G143" s="43"/>
      <c r="H143" s="41"/>
      <c r="I143" s="41"/>
    </row>
    <row r="144" customFormat="false" ht="18" hidden="false" customHeight="true" outlineLevel="0" collapsed="false">
      <c r="A144" s="40" t="str">
        <f aca="false">IF(B144="","",ROW()-4)</f>
        <v/>
      </c>
      <c r="B144" s="41"/>
      <c r="C144" s="42"/>
      <c r="D144" s="42"/>
      <c r="E144" s="42"/>
      <c r="F144" s="42"/>
      <c r="G144" s="43"/>
      <c r="H144" s="41"/>
      <c r="I144" s="41"/>
    </row>
    <row r="145" customFormat="false" ht="18" hidden="false" customHeight="true" outlineLevel="0" collapsed="false">
      <c r="A145" s="40" t="str">
        <f aca="false">IF(B145="","",ROW()-4)</f>
        <v/>
      </c>
      <c r="B145" s="41"/>
      <c r="C145" s="42"/>
      <c r="D145" s="42"/>
      <c r="E145" s="42"/>
      <c r="F145" s="42"/>
      <c r="G145" s="43"/>
      <c r="H145" s="41"/>
      <c r="I145" s="41"/>
    </row>
    <row r="146" customFormat="false" ht="18" hidden="false" customHeight="true" outlineLevel="0" collapsed="false">
      <c r="A146" s="40" t="str">
        <f aca="false">IF(B146="","",ROW()-4)</f>
        <v/>
      </c>
      <c r="B146" s="41"/>
      <c r="C146" s="42"/>
      <c r="D146" s="42"/>
      <c r="E146" s="42"/>
      <c r="F146" s="42"/>
      <c r="G146" s="43"/>
      <c r="H146" s="41"/>
      <c r="I146" s="41"/>
    </row>
    <row r="147" customFormat="false" ht="18" hidden="false" customHeight="true" outlineLevel="0" collapsed="false">
      <c r="A147" s="40" t="str">
        <f aca="false">IF(B147="","",ROW()-4)</f>
        <v/>
      </c>
      <c r="B147" s="41"/>
      <c r="C147" s="42"/>
      <c r="D147" s="42"/>
      <c r="E147" s="42"/>
      <c r="F147" s="42"/>
      <c r="G147" s="43"/>
      <c r="H147" s="41"/>
      <c r="I147" s="41"/>
    </row>
    <row r="148" customFormat="false" ht="18" hidden="false" customHeight="true" outlineLevel="0" collapsed="false">
      <c r="A148" s="40" t="str">
        <f aca="false">IF(B148="","",ROW()-4)</f>
        <v/>
      </c>
      <c r="B148" s="41"/>
      <c r="C148" s="42"/>
      <c r="D148" s="42"/>
      <c r="E148" s="42"/>
      <c r="F148" s="42"/>
      <c r="G148" s="43"/>
      <c r="H148" s="41"/>
      <c r="I148" s="41"/>
    </row>
    <row r="149" customFormat="false" ht="18" hidden="false" customHeight="true" outlineLevel="0" collapsed="false">
      <c r="A149" s="40" t="str">
        <f aca="false">IF(B149="","",ROW()-4)</f>
        <v/>
      </c>
      <c r="B149" s="41"/>
      <c r="C149" s="42"/>
      <c r="D149" s="42"/>
      <c r="E149" s="42"/>
      <c r="F149" s="42"/>
      <c r="G149" s="43"/>
      <c r="H149" s="41"/>
      <c r="I149" s="41"/>
    </row>
    <row r="150" customFormat="false" ht="18" hidden="false" customHeight="true" outlineLevel="0" collapsed="false">
      <c r="A150" s="40" t="str">
        <f aca="false">IF(B150="","",ROW()-4)</f>
        <v/>
      </c>
      <c r="B150" s="41"/>
      <c r="C150" s="42"/>
      <c r="D150" s="42"/>
      <c r="E150" s="42"/>
      <c r="F150" s="42"/>
      <c r="G150" s="43"/>
      <c r="H150" s="41"/>
      <c r="I150" s="41"/>
    </row>
    <row r="151" customFormat="false" ht="18" hidden="false" customHeight="true" outlineLevel="0" collapsed="false">
      <c r="A151" s="40" t="str">
        <f aca="false">IF(B151="","",ROW()-4)</f>
        <v/>
      </c>
      <c r="B151" s="41"/>
      <c r="C151" s="42"/>
      <c r="D151" s="42"/>
      <c r="E151" s="42"/>
      <c r="F151" s="42"/>
      <c r="G151" s="43"/>
      <c r="H151" s="41"/>
      <c r="I151" s="41"/>
    </row>
    <row r="152" customFormat="false" ht="18" hidden="false" customHeight="true" outlineLevel="0" collapsed="false">
      <c r="A152" s="40" t="str">
        <f aca="false">IF(B152="","",ROW()-4)</f>
        <v/>
      </c>
      <c r="B152" s="41"/>
      <c r="C152" s="42"/>
      <c r="D152" s="42"/>
      <c r="E152" s="42"/>
      <c r="F152" s="42"/>
      <c r="G152" s="43"/>
      <c r="H152" s="41"/>
      <c r="I152" s="41"/>
    </row>
    <row r="153" customFormat="false" ht="18" hidden="false" customHeight="true" outlineLevel="0" collapsed="false">
      <c r="A153" s="40" t="str">
        <f aca="false">IF(B153="","",ROW()-4)</f>
        <v/>
      </c>
      <c r="B153" s="41"/>
      <c r="C153" s="42"/>
      <c r="D153" s="42"/>
      <c r="E153" s="42"/>
      <c r="F153" s="42"/>
      <c r="G153" s="43"/>
      <c r="H153" s="41"/>
      <c r="I153" s="41"/>
    </row>
    <row r="154" customFormat="false" ht="18" hidden="false" customHeight="true" outlineLevel="0" collapsed="false">
      <c r="A154" s="40" t="str">
        <f aca="false">IF(B154="","",ROW()-4)</f>
        <v/>
      </c>
      <c r="B154" s="41"/>
      <c r="C154" s="42"/>
      <c r="D154" s="42"/>
      <c r="E154" s="42"/>
      <c r="F154" s="42"/>
      <c r="G154" s="43"/>
      <c r="H154" s="41"/>
      <c r="I154" s="41"/>
    </row>
    <row r="155" customFormat="false" ht="18" hidden="false" customHeight="true" outlineLevel="0" collapsed="false">
      <c r="A155" s="40" t="str">
        <f aca="false">IF(B155="","",ROW()-4)</f>
        <v/>
      </c>
      <c r="B155" s="41"/>
      <c r="C155" s="42"/>
      <c r="D155" s="42"/>
      <c r="E155" s="42"/>
      <c r="F155" s="42"/>
      <c r="G155" s="43"/>
      <c r="H155" s="41"/>
      <c r="I155" s="41"/>
    </row>
    <row r="156" customFormat="false" ht="18" hidden="false" customHeight="true" outlineLevel="0" collapsed="false">
      <c r="A156" s="40" t="str">
        <f aca="false">IF(B156="","",ROW()-4)</f>
        <v/>
      </c>
      <c r="B156" s="41"/>
      <c r="C156" s="42"/>
      <c r="D156" s="42"/>
      <c r="E156" s="42"/>
      <c r="F156" s="42"/>
      <c r="G156" s="43"/>
      <c r="H156" s="41"/>
      <c r="I156" s="41"/>
    </row>
    <row r="157" customFormat="false" ht="18" hidden="false" customHeight="true" outlineLevel="0" collapsed="false">
      <c r="A157" s="40" t="str">
        <f aca="false">IF(B157="","",ROW()-4)</f>
        <v/>
      </c>
      <c r="B157" s="41"/>
      <c r="C157" s="42"/>
      <c r="D157" s="42"/>
      <c r="E157" s="42"/>
      <c r="F157" s="42"/>
      <c r="G157" s="43"/>
      <c r="H157" s="41"/>
      <c r="I157" s="41"/>
    </row>
    <row r="158" customFormat="false" ht="18" hidden="false" customHeight="true" outlineLevel="0" collapsed="false">
      <c r="A158" s="40" t="str">
        <f aca="false">IF(B158="","",ROW()-4)</f>
        <v/>
      </c>
      <c r="B158" s="41"/>
      <c r="C158" s="42"/>
      <c r="D158" s="42"/>
      <c r="E158" s="42"/>
      <c r="F158" s="42"/>
      <c r="G158" s="43"/>
      <c r="H158" s="41"/>
      <c r="I158" s="41"/>
    </row>
    <row r="159" customFormat="false" ht="18" hidden="false" customHeight="true" outlineLevel="0" collapsed="false">
      <c r="A159" s="40" t="str">
        <f aca="false">IF(B159="","",ROW()-4)</f>
        <v/>
      </c>
      <c r="B159" s="41"/>
      <c r="C159" s="42"/>
      <c r="D159" s="42"/>
      <c r="E159" s="42"/>
      <c r="F159" s="42"/>
      <c r="G159" s="43"/>
      <c r="H159" s="41"/>
      <c r="I159" s="41"/>
    </row>
    <row r="160" customFormat="false" ht="18" hidden="false" customHeight="true" outlineLevel="0" collapsed="false">
      <c r="A160" s="40" t="str">
        <f aca="false">IF(B160="","",ROW()-4)</f>
        <v/>
      </c>
      <c r="B160" s="41"/>
      <c r="C160" s="42"/>
      <c r="D160" s="42"/>
      <c r="E160" s="42"/>
      <c r="F160" s="42"/>
      <c r="G160" s="43"/>
      <c r="H160" s="41"/>
      <c r="I160" s="41"/>
    </row>
    <row r="161" customFormat="false" ht="18" hidden="false" customHeight="true" outlineLevel="0" collapsed="false">
      <c r="A161" s="40" t="str">
        <f aca="false">IF(B161="","",ROW()-4)</f>
        <v/>
      </c>
      <c r="B161" s="41"/>
      <c r="C161" s="42"/>
      <c r="D161" s="42"/>
      <c r="E161" s="42"/>
      <c r="F161" s="42"/>
      <c r="G161" s="43"/>
      <c r="H161" s="41"/>
      <c r="I161" s="41"/>
    </row>
    <row r="162" customFormat="false" ht="18" hidden="false" customHeight="true" outlineLevel="0" collapsed="false">
      <c r="A162" s="40" t="str">
        <f aca="false">IF(B162="","",ROW()-4)</f>
        <v/>
      </c>
      <c r="B162" s="41"/>
      <c r="C162" s="42"/>
      <c r="D162" s="42"/>
      <c r="E162" s="42"/>
      <c r="F162" s="42"/>
      <c r="G162" s="43"/>
      <c r="H162" s="41"/>
      <c r="I162" s="41"/>
    </row>
    <row r="163" customFormat="false" ht="18" hidden="false" customHeight="true" outlineLevel="0" collapsed="false">
      <c r="A163" s="40" t="str">
        <f aca="false">IF(B163="","",ROW()-4)</f>
        <v/>
      </c>
      <c r="B163" s="41"/>
      <c r="C163" s="42"/>
      <c r="D163" s="42"/>
      <c r="E163" s="42"/>
      <c r="F163" s="42"/>
      <c r="G163" s="43"/>
      <c r="H163" s="41"/>
      <c r="I163" s="41"/>
    </row>
    <row r="164" customFormat="false" ht="18" hidden="false" customHeight="true" outlineLevel="0" collapsed="false">
      <c r="A164" s="40" t="str">
        <f aca="false">IF(B164="","",ROW()-4)</f>
        <v/>
      </c>
      <c r="B164" s="41"/>
      <c r="C164" s="42"/>
      <c r="D164" s="42"/>
      <c r="E164" s="42"/>
      <c r="F164" s="42"/>
      <c r="G164" s="43"/>
      <c r="H164" s="41"/>
      <c r="I164" s="41"/>
    </row>
    <row r="165" customFormat="false" ht="18" hidden="false" customHeight="true" outlineLevel="0" collapsed="false">
      <c r="A165" s="40" t="str">
        <f aca="false">IF(B165="","",ROW()-4)</f>
        <v/>
      </c>
      <c r="B165" s="41"/>
      <c r="C165" s="42"/>
      <c r="D165" s="42"/>
      <c r="E165" s="42"/>
      <c r="F165" s="42"/>
      <c r="G165" s="43"/>
      <c r="H165" s="41"/>
      <c r="I165" s="41"/>
    </row>
    <row r="166" customFormat="false" ht="18" hidden="false" customHeight="true" outlineLevel="0" collapsed="false">
      <c r="A166" s="40" t="str">
        <f aca="false">IF(B166="","",ROW()-4)</f>
        <v/>
      </c>
      <c r="B166" s="41"/>
      <c r="C166" s="42"/>
      <c r="D166" s="42"/>
      <c r="E166" s="42"/>
      <c r="F166" s="42"/>
      <c r="G166" s="43"/>
      <c r="H166" s="41"/>
      <c r="I166" s="41"/>
    </row>
    <row r="167" customFormat="false" ht="18" hidden="false" customHeight="true" outlineLevel="0" collapsed="false">
      <c r="A167" s="40" t="str">
        <f aca="false">IF(B167="","",ROW()-4)</f>
        <v/>
      </c>
      <c r="B167" s="41"/>
      <c r="C167" s="42"/>
      <c r="D167" s="42"/>
      <c r="E167" s="42"/>
      <c r="F167" s="42"/>
      <c r="G167" s="43"/>
      <c r="H167" s="41"/>
      <c r="I167" s="41"/>
    </row>
    <row r="168" customFormat="false" ht="18" hidden="false" customHeight="true" outlineLevel="0" collapsed="false">
      <c r="A168" s="40" t="str">
        <f aca="false">IF(B168="","",ROW()-4)</f>
        <v/>
      </c>
      <c r="B168" s="41"/>
      <c r="C168" s="42"/>
      <c r="D168" s="42"/>
      <c r="E168" s="42"/>
      <c r="F168" s="42"/>
      <c r="G168" s="43"/>
      <c r="H168" s="41"/>
      <c r="I168" s="41"/>
    </row>
    <row r="169" customFormat="false" ht="18" hidden="false" customHeight="true" outlineLevel="0" collapsed="false">
      <c r="A169" s="40" t="str">
        <f aca="false">IF(B169="","",ROW()-4)</f>
        <v/>
      </c>
      <c r="B169" s="41"/>
      <c r="C169" s="42"/>
      <c r="D169" s="42"/>
      <c r="E169" s="42"/>
      <c r="F169" s="42"/>
      <c r="G169" s="43"/>
      <c r="H169" s="41"/>
      <c r="I169" s="41"/>
    </row>
    <row r="170" customFormat="false" ht="18" hidden="false" customHeight="true" outlineLevel="0" collapsed="false">
      <c r="A170" s="40" t="str">
        <f aca="false">IF(B170="","",ROW()-4)</f>
        <v/>
      </c>
      <c r="B170" s="41"/>
      <c r="C170" s="42"/>
      <c r="D170" s="42"/>
      <c r="E170" s="42"/>
      <c r="F170" s="42"/>
      <c r="G170" s="43"/>
      <c r="H170" s="41"/>
      <c r="I170" s="41"/>
    </row>
    <row r="171" customFormat="false" ht="18" hidden="false" customHeight="true" outlineLevel="0" collapsed="false">
      <c r="A171" s="40" t="str">
        <f aca="false">IF(B171="","",ROW()-4)</f>
        <v/>
      </c>
      <c r="B171" s="41"/>
      <c r="C171" s="42"/>
      <c r="D171" s="42"/>
      <c r="E171" s="42"/>
      <c r="F171" s="42"/>
      <c r="G171" s="43"/>
      <c r="H171" s="41"/>
      <c r="I171" s="41"/>
    </row>
    <row r="172" customFormat="false" ht="18" hidden="false" customHeight="true" outlineLevel="0" collapsed="false">
      <c r="A172" s="40" t="str">
        <f aca="false">IF(B172="","",ROW()-4)</f>
        <v/>
      </c>
      <c r="B172" s="41"/>
      <c r="C172" s="42"/>
      <c r="D172" s="42"/>
      <c r="E172" s="42"/>
      <c r="F172" s="42"/>
      <c r="G172" s="43"/>
      <c r="H172" s="41"/>
      <c r="I172" s="41"/>
    </row>
    <row r="173" customFormat="false" ht="18" hidden="false" customHeight="true" outlineLevel="0" collapsed="false">
      <c r="A173" s="40" t="str">
        <f aca="false">IF(B173="","",ROW()-4)</f>
        <v/>
      </c>
      <c r="B173" s="41"/>
      <c r="C173" s="42"/>
      <c r="D173" s="42"/>
      <c r="E173" s="42"/>
      <c r="F173" s="42"/>
      <c r="G173" s="43"/>
      <c r="H173" s="41"/>
      <c r="I173" s="41"/>
    </row>
    <row r="174" customFormat="false" ht="18" hidden="false" customHeight="true" outlineLevel="0" collapsed="false">
      <c r="A174" s="40" t="str">
        <f aca="false">IF(B174="","",ROW()-4)</f>
        <v/>
      </c>
      <c r="B174" s="41"/>
      <c r="C174" s="42"/>
      <c r="D174" s="42"/>
      <c r="E174" s="42"/>
      <c r="F174" s="42"/>
      <c r="G174" s="43"/>
      <c r="H174" s="41"/>
      <c r="I174" s="41"/>
    </row>
    <row r="175" customFormat="false" ht="18" hidden="false" customHeight="true" outlineLevel="0" collapsed="false">
      <c r="A175" s="40" t="str">
        <f aca="false">IF(B175="","",ROW()-4)</f>
        <v/>
      </c>
      <c r="B175" s="41"/>
      <c r="C175" s="42"/>
      <c r="D175" s="42"/>
      <c r="E175" s="42"/>
      <c r="F175" s="42"/>
      <c r="G175" s="43"/>
      <c r="H175" s="41"/>
      <c r="I175" s="41"/>
    </row>
    <row r="176" customFormat="false" ht="18" hidden="false" customHeight="true" outlineLevel="0" collapsed="false">
      <c r="A176" s="40" t="str">
        <f aca="false">IF(B176="","",ROW()-4)</f>
        <v/>
      </c>
      <c r="B176" s="41"/>
      <c r="C176" s="42"/>
      <c r="D176" s="42"/>
      <c r="E176" s="42"/>
      <c r="F176" s="42"/>
      <c r="G176" s="43"/>
      <c r="H176" s="41"/>
      <c r="I176" s="41"/>
    </row>
    <row r="177" customFormat="false" ht="18" hidden="false" customHeight="true" outlineLevel="0" collapsed="false">
      <c r="A177" s="40" t="str">
        <f aca="false">IF(B177="","",ROW()-4)</f>
        <v/>
      </c>
      <c r="B177" s="41"/>
      <c r="C177" s="42"/>
      <c r="D177" s="42"/>
      <c r="E177" s="42"/>
      <c r="F177" s="42"/>
      <c r="G177" s="43"/>
      <c r="H177" s="41"/>
      <c r="I177" s="41"/>
    </row>
    <row r="178" customFormat="false" ht="18" hidden="false" customHeight="true" outlineLevel="0" collapsed="false">
      <c r="A178" s="40" t="str">
        <f aca="false">IF(B178="","",ROW()-4)</f>
        <v/>
      </c>
      <c r="B178" s="41"/>
      <c r="C178" s="42"/>
      <c r="D178" s="42"/>
      <c r="E178" s="42"/>
      <c r="F178" s="42"/>
      <c r="G178" s="43"/>
      <c r="H178" s="41"/>
      <c r="I178" s="41"/>
    </row>
    <row r="179" customFormat="false" ht="18" hidden="false" customHeight="true" outlineLevel="0" collapsed="false">
      <c r="A179" s="40" t="str">
        <f aca="false">IF(B179="","",ROW()-4)</f>
        <v/>
      </c>
      <c r="B179" s="41"/>
      <c r="C179" s="42"/>
      <c r="D179" s="42"/>
      <c r="E179" s="42"/>
      <c r="F179" s="42"/>
      <c r="G179" s="43"/>
      <c r="H179" s="41"/>
      <c r="I179" s="41"/>
    </row>
    <row r="180" customFormat="false" ht="18" hidden="false" customHeight="true" outlineLevel="0" collapsed="false">
      <c r="A180" s="40" t="str">
        <f aca="false">IF(B180="","",ROW()-4)</f>
        <v/>
      </c>
      <c r="B180" s="41"/>
      <c r="C180" s="42"/>
      <c r="D180" s="42"/>
      <c r="E180" s="42"/>
      <c r="F180" s="42"/>
      <c r="G180" s="43"/>
      <c r="H180" s="41"/>
      <c r="I180" s="41"/>
    </row>
    <row r="181" customFormat="false" ht="18" hidden="false" customHeight="true" outlineLevel="0" collapsed="false">
      <c r="A181" s="40" t="str">
        <f aca="false">IF(B181="","",ROW()-4)</f>
        <v/>
      </c>
      <c r="B181" s="41"/>
      <c r="C181" s="42"/>
      <c r="D181" s="42"/>
      <c r="E181" s="42"/>
      <c r="F181" s="42"/>
      <c r="G181" s="43"/>
      <c r="H181" s="41"/>
      <c r="I181" s="41"/>
    </row>
    <row r="182" customFormat="false" ht="18" hidden="false" customHeight="true" outlineLevel="0" collapsed="false">
      <c r="A182" s="40" t="str">
        <f aca="false">IF(B182="","",ROW()-4)</f>
        <v/>
      </c>
      <c r="B182" s="41"/>
      <c r="C182" s="42"/>
      <c r="D182" s="42"/>
      <c r="E182" s="42"/>
      <c r="F182" s="42"/>
      <c r="G182" s="43"/>
      <c r="H182" s="41"/>
      <c r="I182" s="41"/>
    </row>
    <row r="183" customFormat="false" ht="18" hidden="false" customHeight="true" outlineLevel="0" collapsed="false">
      <c r="A183" s="40" t="str">
        <f aca="false">IF(B183="","",ROW()-4)</f>
        <v/>
      </c>
      <c r="B183" s="41"/>
      <c r="C183" s="42"/>
      <c r="D183" s="42"/>
      <c r="E183" s="42"/>
      <c r="F183" s="42"/>
      <c r="G183" s="43"/>
      <c r="H183" s="41"/>
      <c r="I183" s="41"/>
    </row>
    <row r="184" customFormat="false" ht="18" hidden="false" customHeight="true" outlineLevel="0" collapsed="false">
      <c r="A184" s="40" t="str">
        <f aca="false">IF(B184="","",ROW()-4)</f>
        <v/>
      </c>
      <c r="B184" s="41"/>
      <c r="C184" s="42"/>
      <c r="D184" s="42"/>
      <c r="E184" s="42"/>
      <c r="F184" s="42"/>
      <c r="G184" s="43"/>
      <c r="H184" s="41"/>
      <c r="I184" s="41"/>
    </row>
    <row r="185" customFormat="false" ht="18" hidden="false" customHeight="true" outlineLevel="0" collapsed="false">
      <c r="A185" s="40" t="str">
        <f aca="false">IF(B185="","",ROW()-4)</f>
        <v/>
      </c>
      <c r="B185" s="41"/>
      <c r="C185" s="42"/>
      <c r="D185" s="42"/>
      <c r="E185" s="42"/>
      <c r="F185" s="42"/>
      <c r="G185" s="43"/>
      <c r="H185" s="41"/>
      <c r="I185" s="41"/>
    </row>
    <row r="186" customFormat="false" ht="18" hidden="false" customHeight="true" outlineLevel="0" collapsed="false">
      <c r="A186" s="40" t="str">
        <f aca="false">IF(B186="","",ROW()-4)</f>
        <v/>
      </c>
      <c r="B186" s="41"/>
      <c r="C186" s="42"/>
      <c r="D186" s="42"/>
      <c r="E186" s="42"/>
      <c r="F186" s="42"/>
      <c r="G186" s="43"/>
      <c r="H186" s="41"/>
      <c r="I186" s="41"/>
    </row>
    <row r="187" customFormat="false" ht="18" hidden="false" customHeight="true" outlineLevel="0" collapsed="false">
      <c r="A187" s="40" t="str">
        <f aca="false">IF(B187="","",ROW()-4)</f>
        <v/>
      </c>
      <c r="B187" s="41"/>
      <c r="C187" s="42"/>
      <c r="D187" s="42"/>
      <c r="E187" s="42"/>
      <c r="F187" s="42"/>
      <c r="G187" s="43"/>
      <c r="H187" s="41"/>
      <c r="I187" s="41"/>
    </row>
    <row r="188" customFormat="false" ht="18" hidden="false" customHeight="true" outlineLevel="0" collapsed="false">
      <c r="A188" s="40" t="str">
        <f aca="false">IF(B188="","",ROW()-4)</f>
        <v/>
      </c>
      <c r="B188" s="41"/>
      <c r="C188" s="42"/>
      <c r="D188" s="42"/>
      <c r="E188" s="42"/>
      <c r="F188" s="42"/>
      <c r="G188" s="43"/>
      <c r="H188" s="41"/>
      <c r="I188" s="41"/>
    </row>
    <row r="189" customFormat="false" ht="18" hidden="false" customHeight="true" outlineLevel="0" collapsed="false">
      <c r="A189" s="40" t="str">
        <f aca="false">IF(B189="","",ROW()-4)</f>
        <v/>
      </c>
      <c r="B189" s="41"/>
      <c r="C189" s="42"/>
      <c r="D189" s="42"/>
      <c r="E189" s="42"/>
      <c r="F189" s="42"/>
      <c r="G189" s="43"/>
      <c r="H189" s="41"/>
      <c r="I189" s="41"/>
    </row>
    <row r="190" customFormat="false" ht="18" hidden="false" customHeight="true" outlineLevel="0" collapsed="false">
      <c r="A190" s="40" t="str">
        <f aca="false">IF(B190="","",ROW()-4)</f>
        <v/>
      </c>
      <c r="B190" s="41"/>
      <c r="C190" s="42"/>
      <c r="D190" s="42"/>
      <c r="E190" s="42"/>
      <c r="F190" s="42"/>
      <c r="G190" s="43"/>
      <c r="H190" s="41"/>
      <c r="I190" s="41"/>
    </row>
    <row r="191" customFormat="false" ht="18" hidden="false" customHeight="true" outlineLevel="0" collapsed="false">
      <c r="A191" s="40" t="str">
        <f aca="false">IF(B191="","",ROW()-4)</f>
        <v/>
      </c>
      <c r="B191" s="41"/>
      <c r="C191" s="42"/>
      <c r="D191" s="42"/>
      <c r="E191" s="42"/>
      <c r="F191" s="42"/>
      <c r="G191" s="43"/>
      <c r="H191" s="41"/>
      <c r="I191" s="41"/>
    </row>
    <row r="192" customFormat="false" ht="18" hidden="false" customHeight="true" outlineLevel="0" collapsed="false">
      <c r="A192" s="40" t="str">
        <f aca="false">IF(B192="","",ROW()-4)</f>
        <v/>
      </c>
      <c r="B192" s="41"/>
      <c r="C192" s="42"/>
      <c r="D192" s="42"/>
      <c r="E192" s="42"/>
      <c r="F192" s="42"/>
      <c r="G192" s="43"/>
      <c r="H192" s="41"/>
      <c r="I192" s="41"/>
    </row>
    <row r="193" customFormat="false" ht="18" hidden="false" customHeight="true" outlineLevel="0" collapsed="false">
      <c r="A193" s="40" t="str">
        <f aca="false">IF(B193="","",ROW()-4)</f>
        <v/>
      </c>
      <c r="B193" s="41"/>
      <c r="C193" s="42"/>
      <c r="D193" s="42"/>
      <c r="E193" s="42"/>
      <c r="F193" s="42"/>
      <c r="G193" s="43"/>
      <c r="H193" s="41"/>
      <c r="I193" s="41"/>
    </row>
    <row r="194" customFormat="false" ht="18" hidden="false" customHeight="true" outlineLevel="0" collapsed="false">
      <c r="A194" s="40" t="str">
        <f aca="false">IF(B194="","",ROW()-4)</f>
        <v/>
      </c>
      <c r="B194" s="41"/>
      <c r="C194" s="42"/>
      <c r="D194" s="42"/>
      <c r="E194" s="42"/>
      <c r="F194" s="42"/>
      <c r="G194" s="43"/>
      <c r="H194" s="41"/>
      <c r="I194" s="41"/>
    </row>
    <row r="195" customFormat="false" ht="18" hidden="false" customHeight="true" outlineLevel="0" collapsed="false">
      <c r="A195" s="40" t="str">
        <f aca="false">IF(B195="","",ROW()-4)</f>
        <v/>
      </c>
      <c r="B195" s="41"/>
      <c r="C195" s="42"/>
      <c r="D195" s="42"/>
      <c r="E195" s="42"/>
      <c r="F195" s="42"/>
      <c r="G195" s="43"/>
      <c r="H195" s="41"/>
      <c r="I195" s="41"/>
    </row>
    <row r="196" customFormat="false" ht="18" hidden="false" customHeight="true" outlineLevel="0" collapsed="false">
      <c r="A196" s="40" t="str">
        <f aca="false">IF(B196="","",ROW()-4)</f>
        <v/>
      </c>
      <c r="B196" s="41"/>
      <c r="C196" s="42"/>
      <c r="D196" s="42"/>
      <c r="E196" s="42"/>
      <c r="F196" s="42"/>
      <c r="G196" s="43"/>
      <c r="H196" s="41"/>
      <c r="I196" s="41"/>
    </row>
    <row r="197" customFormat="false" ht="18" hidden="false" customHeight="true" outlineLevel="0" collapsed="false">
      <c r="A197" s="40" t="str">
        <f aca="false">IF(B197="","",ROW()-4)</f>
        <v/>
      </c>
      <c r="B197" s="41"/>
      <c r="C197" s="42"/>
      <c r="D197" s="42"/>
      <c r="E197" s="42"/>
      <c r="F197" s="42"/>
      <c r="G197" s="43"/>
      <c r="H197" s="41"/>
      <c r="I197" s="41"/>
    </row>
    <row r="198" customFormat="false" ht="18" hidden="false" customHeight="true" outlineLevel="0" collapsed="false">
      <c r="A198" s="40" t="str">
        <f aca="false">IF(B198="","",ROW()-4)</f>
        <v/>
      </c>
      <c r="B198" s="41"/>
      <c r="C198" s="42"/>
      <c r="D198" s="42"/>
      <c r="E198" s="42"/>
      <c r="F198" s="42"/>
      <c r="G198" s="43"/>
      <c r="H198" s="41"/>
      <c r="I198" s="41"/>
    </row>
    <row r="199" customFormat="false" ht="18" hidden="false" customHeight="true" outlineLevel="0" collapsed="false">
      <c r="A199" s="40" t="str">
        <f aca="false">IF(B199="","",ROW()-4)</f>
        <v/>
      </c>
      <c r="B199" s="41"/>
      <c r="C199" s="42"/>
      <c r="D199" s="42"/>
      <c r="E199" s="42"/>
      <c r="F199" s="42"/>
      <c r="G199" s="43"/>
      <c r="H199" s="41"/>
      <c r="I199" s="41"/>
    </row>
    <row r="200" customFormat="false" ht="18" hidden="false" customHeight="true" outlineLevel="0" collapsed="false">
      <c r="A200" s="40" t="str">
        <f aca="false">IF(B200="","",ROW()-4)</f>
        <v/>
      </c>
      <c r="B200" s="41"/>
      <c r="C200" s="42"/>
      <c r="D200" s="42"/>
      <c r="E200" s="42"/>
      <c r="F200" s="42"/>
      <c r="G200" s="43"/>
      <c r="H200" s="41"/>
      <c r="I200" s="41"/>
    </row>
    <row r="201" customFormat="false" ht="18" hidden="false" customHeight="true" outlineLevel="0" collapsed="false">
      <c r="A201" s="40" t="str">
        <f aca="false">IF(B201="","",ROW()-4)</f>
        <v/>
      </c>
      <c r="B201" s="41"/>
      <c r="C201" s="42"/>
      <c r="D201" s="42"/>
      <c r="E201" s="42"/>
      <c r="F201" s="42"/>
      <c r="G201" s="43"/>
      <c r="H201" s="41"/>
      <c r="I201" s="41"/>
    </row>
    <row r="202" customFormat="false" ht="18" hidden="false" customHeight="true" outlineLevel="0" collapsed="false">
      <c r="A202" s="40" t="str">
        <f aca="false">IF(B202="","",ROW()-4)</f>
        <v/>
      </c>
      <c r="B202" s="41"/>
      <c r="C202" s="42"/>
      <c r="D202" s="42"/>
      <c r="E202" s="42"/>
      <c r="F202" s="42"/>
      <c r="G202" s="43"/>
      <c r="H202" s="41"/>
      <c r="I202" s="41"/>
    </row>
    <row r="203" customFormat="false" ht="18" hidden="false" customHeight="true" outlineLevel="0" collapsed="false">
      <c r="A203" s="40" t="str">
        <f aca="false">IF(B203="","",ROW()-4)</f>
        <v/>
      </c>
      <c r="B203" s="41"/>
      <c r="C203" s="42"/>
      <c r="D203" s="42"/>
      <c r="E203" s="42"/>
      <c r="F203" s="42"/>
      <c r="G203" s="43"/>
      <c r="H203" s="41"/>
      <c r="I203" s="41"/>
    </row>
    <row r="204" customFormat="false" ht="18" hidden="false" customHeight="true" outlineLevel="0" collapsed="false">
      <c r="A204" s="40" t="str">
        <f aca="false">IF(B204="","",ROW()-4)</f>
        <v/>
      </c>
      <c r="B204" s="41"/>
      <c r="C204" s="42"/>
      <c r="D204" s="42"/>
      <c r="E204" s="42"/>
      <c r="F204" s="42"/>
      <c r="G204" s="43"/>
      <c r="H204" s="41"/>
      <c r="I204" s="41"/>
    </row>
    <row r="205" customFormat="false" ht="18" hidden="false" customHeight="true" outlineLevel="0" collapsed="false">
      <c r="A205" s="40" t="str">
        <f aca="false">IF(B205="","",ROW()-4)</f>
        <v/>
      </c>
      <c r="B205" s="41"/>
      <c r="C205" s="42"/>
      <c r="D205" s="42"/>
      <c r="E205" s="42"/>
      <c r="F205" s="42"/>
      <c r="G205" s="43"/>
      <c r="H205" s="41"/>
      <c r="I205" s="41"/>
    </row>
    <row r="206" customFormat="false" ht="18" hidden="false" customHeight="true" outlineLevel="0" collapsed="false">
      <c r="A206" s="40" t="str">
        <f aca="false">IF(B206="","",ROW()-4)</f>
        <v/>
      </c>
      <c r="B206" s="41"/>
      <c r="C206" s="42"/>
      <c r="D206" s="42"/>
      <c r="E206" s="42"/>
      <c r="F206" s="42"/>
      <c r="G206" s="43"/>
      <c r="H206" s="41"/>
      <c r="I206" s="41"/>
    </row>
    <row r="207" customFormat="false" ht="18" hidden="false" customHeight="true" outlineLevel="0" collapsed="false">
      <c r="A207" s="40" t="str">
        <f aca="false">IF(B207="","",ROW()-4)</f>
        <v/>
      </c>
      <c r="B207" s="41"/>
      <c r="C207" s="42"/>
      <c r="D207" s="42"/>
      <c r="E207" s="42"/>
      <c r="F207" s="42"/>
      <c r="G207" s="43"/>
      <c r="H207" s="41"/>
      <c r="I207" s="41"/>
    </row>
    <row r="208" customFormat="false" ht="18" hidden="false" customHeight="true" outlineLevel="0" collapsed="false">
      <c r="A208" s="40" t="str">
        <f aca="false">IF(B208="","",ROW()-4)</f>
        <v/>
      </c>
      <c r="B208" s="41"/>
      <c r="C208" s="42"/>
      <c r="D208" s="42"/>
      <c r="E208" s="42"/>
      <c r="F208" s="42"/>
      <c r="G208" s="43"/>
      <c r="H208" s="41"/>
      <c r="I208" s="41"/>
    </row>
    <row r="209" customFormat="false" ht="18" hidden="false" customHeight="true" outlineLevel="0" collapsed="false">
      <c r="A209" s="40" t="str">
        <f aca="false">IF(B209="","",ROW()-4)</f>
        <v/>
      </c>
      <c r="B209" s="41"/>
      <c r="C209" s="42"/>
      <c r="D209" s="42"/>
      <c r="E209" s="42"/>
      <c r="F209" s="42"/>
      <c r="G209" s="43"/>
      <c r="H209" s="41"/>
      <c r="I209" s="41"/>
    </row>
    <row r="210" customFormat="false" ht="18" hidden="false" customHeight="true" outlineLevel="0" collapsed="false">
      <c r="A210" s="40" t="str">
        <f aca="false">IF(B210="","",ROW()-4)</f>
        <v/>
      </c>
      <c r="B210" s="41"/>
      <c r="C210" s="42"/>
      <c r="D210" s="42"/>
      <c r="E210" s="42"/>
      <c r="F210" s="42"/>
      <c r="G210" s="43"/>
      <c r="H210" s="41"/>
      <c r="I210" s="41"/>
    </row>
    <row r="211" customFormat="false" ht="18" hidden="false" customHeight="true" outlineLevel="0" collapsed="false">
      <c r="A211" s="40" t="str">
        <f aca="false">IF(B211="","",ROW()-4)</f>
        <v/>
      </c>
      <c r="B211" s="41"/>
      <c r="C211" s="42"/>
      <c r="D211" s="42"/>
      <c r="E211" s="42"/>
      <c r="F211" s="42"/>
      <c r="G211" s="43"/>
      <c r="H211" s="41"/>
      <c r="I211" s="41"/>
    </row>
    <row r="212" customFormat="false" ht="18" hidden="false" customHeight="true" outlineLevel="0" collapsed="false">
      <c r="A212" s="40" t="str">
        <f aca="false">IF(B212="","",ROW()-4)</f>
        <v/>
      </c>
      <c r="B212" s="41"/>
      <c r="C212" s="42"/>
      <c r="D212" s="42"/>
      <c r="E212" s="42"/>
      <c r="F212" s="42"/>
      <c r="G212" s="43"/>
      <c r="H212" s="41"/>
      <c r="I212" s="41"/>
    </row>
    <row r="213" customFormat="false" ht="18" hidden="false" customHeight="true" outlineLevel="0" collapsed="false">
      <c r="A213" s="40" t="str">
        <f aca="false">IF(B213="","",ROW()-4)</f>
        <v/>
      </c>
      <c r="B213" s="41"/>
      <c r="C213" s="42"/>
      <c r="D213" s="42"/>
      <c r="E213" s="42"/>
      <c r="F213" s="42"/>
      <c r="G213" s="43"/>
      <c r="H213" s="41"/>
      <c r="I213" s="41"/>
    </row>
    <row r="214" customFormat="false" ht="18" hidden="false" customHeight="true" outlineLevel="0" collapsed="false">
      <c r="A214" s="40" t="str">
        <f aca="false">IF(B214="","",ROW()-4)</f>
        <v/>
      </c>
      <c r="B214" s="41"/>
      <c r="C214" s="42"/>
      <c r="D214" s="42"/>
      <c r="E214" s="42"/>
      <c r="F214" s="42"/>
      <c r="G214" s="43"/>
      <c r="H214" s="41"/>
      <c r="I214" s="41"/>
    </row>
    <row r="215" customFormat="false" ht="18" hidden="false" customHeight="true" outlineLevel="0" collapsed="false">
      <c r="A215" s="40" t="str">
        <f aca="false">IF(B215="","",ROW()-4)</f>
        <v/>
      </c>
      <c r="B215" s="41"/>
      <c r="C215" s="42"/>
      <c r="D215" s="42"/>
      <c r="E215" s="42"/>
      <c r="F215" s="42"/>
      <c r="G215" s="43"/>
      <c r="H215" s="41"/>
      <c r="I215" s="41"/>
    </row>
    <row r="216" customFormat="false" ht="18" hidden="false" customHeight="true" outlineLevel="0" collapsed="false">
      <c r="A216" s="40" t="str">
        <f aca="false">IF(B216="","",ROW()-4)</f>
        <v/>
      </c>
      <c r="B216" s="41"/>
      <c r="C216" s="42"/>
      <c r="D216" s="42"/>
      <c r="E216" s="42"/>
      <c r="F216" s="42"/>
      <c r="G216" s="43"/>
      <c r="H216" s="41"/>
      <c r="I216" s="41"/>
    </row>
    <row r="217" customFormat="false" ht="18" hidden="false" customHeight="true" outlineLevel="0" collapsed="false">
      <c r="A217" s="40" t="str">
        <f aca="false">IF(B217="","",ROW()-4)</f>
        <v/>
      </c>
      <c r="B217" s="41"/>
      <c r="C217" s="42"/>
      <c r="D217" s="42"/>
      <c r="E217" s="42"/>
      <c r="F217" s="42"/>
      <c r="G217" s="43"/>
      <c r="H217" s="41"/>
      <c r="I217" s="41"/>
    </row>
    <row r="218" customFormat="false" ht="18" hidden="false" customHeight="true" outlineLevel="0" collapsed="false">
      <c r="A218" s="40" t="str">
        <f aca="false">IF(B218="","",ROW()-4)</f>
        <v/>
      </c>
      <c r="B218" s="41"/>
      <c r="C218" s="42"/>
      <c r="D218" s="42"/>
      <c r="E218" s="42"/>
      <c r="F218" s="42"/>
      <c r="G218" s="43"/>
      <c r="H218" s="41"/>
      <c r="I218" s="41"/>
    </row>
    <row r="219" customFormat="false" ht="18" hidden="false" customHeight="true" outlineLevel="0" collapsed="false">
      <c r="A219" s="40" t="str">
        <f aca="false">IF(B219="","",ROW()-4)</f>
        <v/>
      </c>
      <c r="B219" s="41"/>
      <c r="C219" s="42"/>
      <c r="D219" s="42"/>
      <c r="E219" s="42"/>
      <c r="F219" s="42"/>
      <c r="G219" s="43"/>
      <c r="H219" s="41"/>
      <c r="I219" s="41"/>
    </row>
    <row r="220" customFormat="false" ht="18" hidden="false" customHeight="true" outlineLevel="0" collapsed="false">
      <c r="A220" s="40" t="str">
        <f aca="false">IF(B220="","",ROW()-4)</f>
        <v/>
      </c>
      <c r="B220" s="41"/>
      <c r="C220" s="42"/>
      <c r="D220" s="42"/>
      <c r="E220" s="42"/>
      <c r="F220" s="42"/>
      <c r="G220" s="43"/>
      <c r="H220" s="41"/>
      <c r="I220" s="41"/>
    </row>
    <row r="221" customFormat="false" ht="18" hidden="false" customHeight="true" outlineLevel="0" collapsed="false">
      <c r="A221" s="40" t="str">
        <f aca="false">IF(B221="","",ROW()-4)</f>
        <v/>
      </c>
      <c r="B221" s="41"/>
      <c r="C221" s="42"/>
      <c r="D221" s="42"/>
      <c r="E221" s="42"/>
      <c r="F221" s="42"/>
      <c r="G221" s="43"/>
      <c r="H221" s="41"/>
      <c r="I221" s="41"/>
    </row>
    <row r="222" customFormat="false" ht="18" hidden="false" customHeight="true" outlineLevel="0" collapsed="false">
      <c r="A222" s="40" t="str">
        <f aca="false">IF(B222="","",ROW()-4)</f>
        <v/>
      </c>
      <c r="B222" s="41"/>
      <c r="C222" s="42"/>
      <c r="D222" s="42"/>
      <c r="E222" s="42"/>
      <c r="F222" s="42"/>
      <c r="G222" s="43"/>
      <c r="H222" s="41"/>
      <c r="I222" s="41"/>
    </row>
    <row r="223" customFormat="false" ht="18" hidden="false" customHeight="true" outlineLevel="0" collapsed="false">
      <c r="A223" s="40" t="str">
        <f aca="false">IF(B223="","",ROW()-4)</f>
        <v/>
      </c>
      <c r="B223" s="41"/>
      <c r="C223" s="42"/>
      <c r="D223" s="42"/>
      <c r="E223" s="42"/>
      <c r="F223" s="42"/>
      <c r="G223" s="43"/>
      <c r="H223" s="41"/>
      <c r="I223" s="41"/>
    </row>
    <row r="224" customFormat="false" ht="18" hidden="false" customHeight="true" outlineLevel="0" collapsed="false">
      <c r="A224" s="40" t="str">
        <f aca="false">IF(B224="","",ROW()-4)</f>
        <v/>
      </c>
      <c r="B224" s="41"/>
      <c r="C224" s="42"/>
      <c r="D224" s="42"/>
      <c r="E224" s="42"/>
      <c r="F224" s="42"/>
      <c r="G224" s="43"/>
      <c r="H224" s="41"/>
      <c r="I224" s="41"/>
    </row>
    <row r="225" customFormat="false" ht="18" hidden="false" customHeight="true" outlineLevel="0" collapsed="false">
      <c r="A225" s="40" t="str">
        <f aca="false">IF(B225="","",ROW()-4)</f>
        <v/>
      </c>
      <c r="B225" s="41"/>
      <c r="C225" s="42"/>
      <c r="D225" s="42"/>
      <c r="E225" s="42"/>
      <c r="F225" s="42"/>
      <c r="G225" s="43"/>
      <c r="H225" s="41"/>
      <c r="I225" s="41"/>
    </row>
    <row r="226" customFormat="false" ht="18" hidden="false" customHeight="true" outlineLevel="0" collapsed="false">
      <c r="A226" s="40" t="str">
        <f aca="false">IF(B226="","",ROW()-4)</f>
        <v/>
      </c>
      <c r="B226" s="41"/>
      <c r="C226" s="42"/>
      <c r="D226" s="42"/>
      <c r="E226" s="42"/>
      <c r="F226" s="42"/>
      <c r="G226" s="43"/>
      <c r="H226" s="41"/>
      <c r="I226" s="41"/>
    </row>
    <row r="227" customFormat="false" ht="18" hidden="false" customHeight="true" outlineLevel="0" collapsed="false">
      <c r="A227" s="40" t="str">
        <f aca="false">IF(B227="","",ROW()-4)</f>
        <v/>
      </c>
      <c r="B227" s="41"/>
      <c r="C227" s="42"/>
      <c r="D227" s="42"/>
      <c r="E227" s="42"/>
      <c r="F227" s="42"/>
      <c r="G227" s="43"/>
      <c r="H227" s="41"/>
      <c r="I227" s="41"/>
    </row>
    <row r="228" customFormat="false" ht="18" hidden="false" customHeight="true" outlineLevel="0" collapsed="false">
      <c r="A228" s="40" t="str">
        <f aca="false">IF(B228="","",ROW()-4)</f>
        <v/>
      </c>
      <c r="B228" s="41"/>
      <c r="C228" s="42"/>
      <c r="D228" s="42"/>
      <c r="E228" s="42"/>
      <c r="F228" s="42"/>
      <c r="G228" s="43"/>
      <c r="H228" s="41"/>
      <c r="I228" s="41"/>
    </row>
    <row r="229" customFormat="false" ht="18" hidden="false" customHeight="true" outlineLevel="0" collapsed="false">
      <c r="A229" s="40" t="str">
        <f aca="false">IF(B229="","",ROW()-4)</f>
        <v/>
      </c>
      <c r="B229" s="41"/>
      <c r="C229" s="42"/>
      <c r="D229" s="42"/>
      <c r="E229" s="42"/>
      <c r="F229" s="42"/>
      <c r="G229" s="43"/>
      <c r="H229" s="41"/>
      <c r="I229" s="41"/>
    </row>
    <row r="230" customFormat="false" ht="18" hidden="false" customHeight="true" outlineLevel="0" collapsed="false">
      <c r="A230" s="40" t="str">
        <f aca="false">IF(B230="","",ROW()-4)</f>
        <v/>
      </c>
      <c r="B230" s="41"/>
      <c r="C230" s="42"/>
      <c r="D230" s="42"/>
      <c r="E230" s="42"/>
      <c r="F230" s="42"/>
      <c r="G230" s="43"/>
      <c r="H230" s="41"/>
      <c r="I230" s="41"/>
    </row>
    <row r="231" customFormat="false" ht="18" hidden="false" customHeight="true" outlineLevel="0" collapsed="false">
      <c r="A231" s="40" t="str">
        <f aca="false">IF(B231="","",ROW()-4)</f>
        <v/>
      </c>
      <c r="B231" s="41"/>
      <c r="C231" s="42"/>
      <c r="D231" s="42"/>
      <c r="E231" s="42"/>
      <c r="F231" s="42"/>
      <c r="G231" s="43"/>
      <c r="H231" s="41"/>
      <c r="I231" s="41"/>
    </row>
    <row r="232" customFormat="false" ht="18" hidden="false" customHeight="true" outlineLevel="0" collapsed="false">
      <c r="A232" s="40" t="str">
        <f aca="false">IF(B232="","",ROW()-4)</f>
        <v/>
      </c>
      <c r="B232" s="41"/>
      <c r="C232" s="42"/>
      <c r="D232" s="42"/>
      <c r="E232" s="42"/>
      <c r="F232" s="42"/>
      <c r="G232" s="43"/>
      <c r="H232" s="41"/>
      <c r="I232" s="41"/>
    </row>
    <row r="233" customFormat="false" ht="18" hidden="false" customHeight="true" outlineLevel="0" collapsed="false">
      <c r="A233" s="40" t="str">
        <f aca="false">IF(B233="","",ROW()-4)</f>
        <v/>
      </c>
      <c r="B233" s="41"/>
      <c r="C233" s="42"/>
      <c r="D233" s="42"/>
      <c r="E233" s="42"/>
      <c r="F233" s="42"/>
      <c r="G233" s="43"/>
      <c r="H233" s="41"/>
      <c r="I233" s="41"/>
    </row>
    <row r="234" customFormat="false" ht="18" hidden="false" customHeight="true" outlineLevel="0" collapsed="false">
      <c r="A234" s="40" t="str">
        <f aca="false">IF(B234="","",ROW()-4)</f>
        <v/>
      </c>
      <c r="B234" s="41"/>
      <c r="C234" s="42"/>
      <c r="D234" s="42"/>
      <c r="E234" s="42"/>
      <c r="F234" s="42"/>
      <c r="G234" s="43"/>
      <c r="H234" s="41"/>
      <c r="I234" s="41"/>
    </row>
    <row r="235" customFormat="false" ht="18" hidden="false" customHeight="true" outlineLevel="0" collapsed="false">
      <c r="A235" s="40" t="str">
        <f aca="false">IF(B235="","",ROW()-4)</f>
        <v/>
      </c>
      <c r="B235" s="41"/>
      <c r="C235" s="42"/>
      <c r="D235" s="42"/>
      <c r="E235" s="42"/>
      <c r="F235" s="42"/>
      <c r="G235" s="43"/>
      <c r="H235" s="41"/>
      <c r="I235" s="41"/>
    </row>
    <row r="236" customFormat="false" ht="18" hidden="false" customHeight="true" outlineLevel="0" collapsed="false">
      <c r="A236" s="40" t="str">
        <f aca="false">IF(B236="","",ROW()-4)</f>
        <v/>
      </c>
      <c r="B236" s="41"/>
      <c r="C236" s="42"/>
      <c r="D236" s="42"/>
      <c r="E236" s="42"/>
      <c r="F236" s="42"/>
      <c r="G236" s="43"/>
      <c r="H236" s="41"/>
      <c r="I236" s="41"/>
    </row>
    <row r="237" customFormat="false" ht="18" hidden="false" customHeight="true" outlineLevel="0" collapsed="false">
      <c r="A237" s="40" t="str">
        <f aca="false">IF(B237="","",ROW()-4)</f>
        <v/>
      </c>
      <c r="B237" s="41"/>
      <c r="C237" s="42"/>
      <c r="D237" s="42"/>
      <c r="E237" s="42"/>
      <c r="F237" s="42"/>
      <c r="G237" s="43"/>
      <c r="H237" s="41"/>
      <c r="I237" s="41"/>
    </row>
    <row r="238" customFormat="false" ht="18" hidden="false" customHeight="true" outlineLevel="0" collapsed="false">
      <c r="A238" s="40" t="str">
        <f aca="false">IF(B238="","",ROW()-4)</f>
        <v/>
      </c>
      <c r="B238" s="41"/>
      <c r="C238" s="42"/>
      <c r="D238" s="42"/>
      <c r="E238" s="42"/>
      <c r="F238" s="42"/>
      <c r="G238" s="43"/>
      <c r="H238" s="41"/>
      <c r="I238" s="41"/>
    </row>
    <row r="239" customFormat="false" ht="18" hidden="false" customHeight="true" outlineLevel="0" collapsed="false">
      <c r="A239" s="40" t="str">
        <f aca="false">IF(B239="","",ROW()-4)</f>
        <v/>
      </c>
      <c r="B239" s="41"/>
      <c r="C239" s="42"/>
      <c r="D239" s="42"/>
      <c r="E239" s="42"/>
      <c r="F239" s="42"/>
      <c r="G239" s="43"/>
      <c r="H239" s="41"/>
      <c r="I239" s="41"/>
    </row>
    <row r="240" customFormat="false" ht="18" hidden="false" customHeight="true" outlineLevel="0" collapsed="false">
      <c r="A240" s="40" t="str">
        <f aca="false">IF(B240="","",ROW()-4)</f>
        <v/>
      </c>
      <c r="B240" s="41"/>
      <c r="C240" s="42"/>
      <c r="D240" s="42"/>
      <c r="E240" s="42"/>
      <c r="F240" s="42"/>
      <c r="G240" s="43"/>
      <c r="H240" s="41"/>
      <c r="I240" s="41"/>
    </row>
    <row r="241" customFormat="false" ht="18" hidden="false" customHeight="true" outlineLevel="0" collapsed="false">
      <c r="A241" s="40" t="str">
        <f aca="false">IF(B241="","",ROW()-4)</f>
        <v/>
      </c>
      <c r="B241" s="41"/>
      <c r="C241" s="42"/>
      <c r="D241" s="42"/>
      <c r="E241" s="42"/>
      <c r="F241" s="42"/>
      <c r="G241" s="43"/>
      <c r="H241" s="41"/>
      <c r="I241" s="41"/>
    </row>
    <row r="242" customFormat="false" ht="18" hidden="false" customHeight="true" outlineLevel="0" collapsed="false">
      <c r="A242" s="40" t="str">
        <f aca="false">IF(B242="","",ROW()-4)</f>
        <v/>
      </c>
      <c r="B242" s="41"/>
      <c r="C242" s="42"/>
      <c r="D242" s="42"/>
      <c r="E242" s="42"/>
      <c r="F242" s="42"/>
      <c r="G242" s="43"/>
      <c r="H242" s="41"/>
      <c r="I242" s="41"/>
    </row>
    <row r="243" customFormat="false" ht="18" hidden="false" customHeight="true" outlineLevel="0" collapsed="false">
      <c r="A243" s="40" t="str">
        <f aca="false">IF(B243="","",ROW()-4)</f>
        <v/>
      </c>
      <c r="B243" s="41"/>
      <c r="C243" s="42"/>
      <c r="D243" s="42"/>
      <c r="E243" s="42"/>
      <c r="F243" s="42"/>
      <c r="G243" s="43"/>
      <c r="H243" s="41"/>
      <c r="I243" s="41"/>
    </row>
    <row r="244" customFormat="false" ht="18" hidden="false" customHeight="true" outlineLevel="0" collapsed="false">
      <c r="A244" s="40" t="str">
        <f aca="false">IF(B244="","",ROW()-4)</f>
        <v/>
      </c>
      <c r="B244" s="41"/>
      <c r="C244" s="42"/>
      <c r="D244" s="42"/>
      <c r="E244" s="42"/>
      <c r="F244" s="42"/>
      <c r="G244" s="43"/>
      <c r="H244" s="41"/>
      <c r="I244" s="41"/>
    </row>
    <row r="245" customFormat="false" ht="18" hidden="false" customHeight="true" outlineLevel="0" collapsed="false">
      <c r="A245" s="40" t="str">
        <f aca="false">IF(B245="","",ROW()-4)</f>
        <v/>
      </c>
      <c r="B245" s="41"/>
      <c r="C245" s="42"/>
      <c r="D245" s="42"/>
      <c r="E245" s="42"/>
      <c r="F245" s="42"/>
      <c r="G245" s="43"/>
      <c r="H245" s="41"/>
      <c r="I245" s="41"/>
    </row>
    <row r="246" customFormat="false" ht="18" hidden="false" customHeight="true" outlineLevel="0" collapsed="false">
      <c r="A246" s="40" t="str">
        <f aca="false">IF(B246="","",ROW()-4)</f>
        <v/>
      </c>
      <c r="B246" s="41"/>
      <c r="C246" s="42"/>
      <c r="D246" s="42"/>
      <c r="E246" s="42"/>
      <c r="F246" s="42"/>
      <c r="G246" s="43"/>
      <c r="H246" s="41"/>
      <c r="I246" s="41"/>
    </row>
    <row r="247" customFormat="false" ht="18" hidden="false" customHeight="true" outlineLevel="0" collapsed="false">
      <c r="A247" s="40" t="str">
        <f aca="false">IF(B247="","",ROW()-4)</f>
        <v/>
      </c>
      <c r="B247" s="41"/>
      <c r="C247" s="42"/>
      <c r="D247" s="42"/>
      <c r="E247" s="42"/>
      <c r="F247" s="42"/>
      <c r="G247" s="43"/>
      <c r="H247" s="41"/>
      <c r="I247" s="41"/>
    </row>
    <row r="248" customFormat="false" ht="18" hidden="false" customHeight="true" outlineLevel="0" collapsed="false">
      <c r="A248" s="40" t="str">
        <f aca="false">IF(B248="","",ROW()-4)</f>
        <v/>
      </c>
      <c r="B248" s="41"/>
      <c r="C248" s="42"/>
      <c r="D248" s="42"/>
      <c r="E248" s="42"/>
      <c r="F248" s="42"/>
      <c r="G248" s="43"/>
      <c r="H248" s="41"/>
      <c r="I248" s="41"/>
    </row>
    <row r="249" customFormat="false" ht="18" hidden="false" customHeight="true" outlineLevel="0" collapsed="false">
      <c r="A249" s="40" t="str">
        <f aca="false">IF(B249="","",ROW()-4)</f>
        <v/>
      </c>
      <c r="B249" s="41"/>
      <c r="C249" s="42"/>
      <c r="D249" s="42"/>
      <c r="E249" s="42"/>
      <c r="F249" s="42"/>
      <c r="G249" s="43"/>
      <c r="H249" s="41"/>
      <c r="I249" s="41"/>
    </row>
    <row r="250" customFormat="false" ht="18" hidden="false" customHeight="true" outlineLevel="0" collapsed="false">
      <c r="A250" s="40" t="str">
        <f aca="false">IF(B250="","",ROW()-4)</f>
        <v/>
      </c>
      <c r="B250" s="41"/>
      <c r="C250" s="42"/>
      <c r="D250" s="42"/>
      <c r="E250" s="42"/>
      <c r="F250" s="42"/>
      <c r="G250" s="43"/>
      <c r="H250" s="41"/>
      <c r="I250" s="41"/>
    </row>
    <row r="251" customFormat="false" ht="18" hidden="false" customHeight="true" outlineLevel="0" collapsed="false">
      <c r="A251" s="40" t="str">
        <f aca="false">IF(B251="","",ROW()-4)</f>
        <v/>
      </c>
      <c r="B251" s="41"/>
      <c r="C251" s="42"/>
      <c r="D251" s="42"/>
      <c r="E251" s="42"/>
      <c r="F251" s="42"/>
      <c r="G251" s="43"/>
      <c r="H251" s="41"/>
      <c r="I251" s="41"/>
    </row>
    <row r="252" customFormat="false" ht="18" hidden="false" customHeight="true" outlineLevel="0" collapsed="false">
      <c r="A252" s="40" t="str">
        <f aca="false">IF(B252="","",ROW()-4)</f>
        <v/>
      </c>
      <c r="B252" s="41"/>
      <c r="C252" s="42"/>
      <c r="D252" s="42"/>
      <c r="E252" s="42"/>
      <c r="F252" s="42"/>
      <c r="G252" s="43"/>
      <c r="H252" s="41"/>
      <c r="I252" s="41"/>
    </row>
    <row r="253" customFormat="false" ht="18" hidden="false" customHeight="true" outlineLevel="0" collapsed="false">
      <c r="A253" s="40" t="str">
        <f aca="false">IF(B253="","",ROW()-4)</f>
        <v/>
      </c>
      <c r="B253" s="41"/>
      <c r="C253" s="42"/>
      <c r="D253" s="42"/>
      <c r="E253" s="42"/>
      <c r="F253" s="42"/>
      <c r="G253" s="43"/>
      <c r="H253" s="41"/>
      <c r="I253" s="41"/>
    </row>
    <row r="254" customFormat="false" ht="18" hidden="false" customHeight="true" outlineLevel="0" collapsed="false">
      <c r="A254" s="40" t="str">
        <f aca="false">IF(B254="","",ROW()-4)</f>
        <v/>
      </c>
      <c r="B254" s="41"/>
      <c r="C254" s="42"/>
      <c r="D254" s="42"/>
      <c r="E254" s="42"/>
      <c r="F254" s="42"/>
      <c r="G254" s="43"/>
      <c r="H254" s="41"/>
      <c r="I254" s="41"/>
    </row>
    <row r="255" customFormat="false" ht="18" hidden="false" customHeight="true" outlineLevel="0" collapsed="false">
      <c r="A255" s="40" t="str">
        <f aca="false">IF(B255="","",ROW()-4)</f>
        <v/>
      </c>
      <c r="B255" s="41"/>
      <c r="C255" s="42"/>
      <c r="D255" s="42"/>
      <c r="E255" s="42"/>
      <c r="F255" s="42"/>
      <c r="G255" s="43"/>
      <c r="H255" s="41"/>
      <c r="I255" s="41"/>
    </row>
    <row r="256" customFormat="false" ht="18" hidden="false" customHeight="true" outlineLevel="0" collapsed="false">
      <c r="A256" s="40" t="str">
        <f aca="false">IF(B256="","",ROW()-4)</f>
        <v/>
      </c>
      <c r="B256" s="41"/>
      <c r="C256" s="42"/>
      <c r="D256" s="42"/>
      <c r="E256" s="42"/>
      <c r="F256" s="42"/>
      <c r="G256" s="43"/>
      <c r="H256" s="41"/>
      <c r="I256" s="41"/>
    </row>
    <row r="257" customFormat="false" ht="18" hidden="false" customHeight="true" outlineLevel="0" collapsed="false">
      <c r="A257" s="40" t="str">
        <f aca="false">IF(B257="","",ROW()-4)</f>
        <v/>
      </c>
      <c r="B257" s="41"/>
      <c r="C257" s="42"/>
      <c r="D257" s="42"/>
      <c r="E257" s="42"/>
      <c r="F257" s="42"/>
      <c r="G257" s="43"/>
      <c r="H257" s="41"/>
      <c r="I257" s="41"/>
    </row>
    <row r="258" customFormat="false" ht="18" hidden="false" customHeight="true" outlineLevel="0" collapsed="false">
      <c r="A258" s="40" t="str">
        <f aca="false">IF(B258="","",ROW()-4)</f>
        <v/>
      </c>
      <c r="B258" s="41"/>
      <c r="C258" s="42"/>
      <c r="D258" s="42"/>
      <c r="E258" s="42"/>
      <c r="F258" s="42"/>
      <c r="G258" s="43"/>
      <c r="H258" s="41"/>
      <c r="I258" s="41"/>
    </row>
    <row r="259" customFormat="false" ht="18" hidden="false" customHeight="true" outlineLevel="0" collapsed="false">
      <c r="A259" s="40" t="str">
        <f aca="false">IF(B259="","",ROW()-4)</f>
        <v/>
      </c>
      <c r="B259" s="41"/>
      <c r="C259" s="42"/>
      <c r="D259" s="42"/>
      <c r="E259" s="42"/>
      <c r="F259" s="42"/>
      <c r="G259" s="43"/>
      <c r="H259" s="41"/>
      <c r="I259" s="41"/>
    </row>
    <row r="260" customFormat="false" ht="18" hidden="false" customHeight="true" outlineLevel="0" collapsed="false">
      <c r="A260" s="40" t="str">
        <f aca="false">IF(B260="","",ROW()-4)</f>
        <v/>
      </c>
      <c r="B260" s="41"/>
      <c r="C260" s="42"/>
      <c r="D260" s="42"/>
      <c r="E260" s="42"/>
      <c r="F260" s="42"/>
      <c r="G260" s="43"/>
      <c r="H260" s="41"/>
      <c r="I260" s="41"/>
    </row>
    <row r="261" customFormat="false" ht="18" hidden="false" customHeight="true" outlineLevel="0" collapsed="false">
      <c r="A261" s="40" t="str">
        <f aca="false">IF(B261="","",ROW()-4)</f>
        <v/>
      </c>
      <c r="B261" s="41"/>
      <c r="C261" s="42"/>
      <c r="D261" s="42"/>
      <c r="E261" s="42"/>
      <c r="F261" s="42"/>
      <c r="G261" s="43"/>
      <c r="H261" s="41"/>
      <c r="I261" s="41"/>
    </row>
    <row r="262" customFormat="false" ht="18" hidden="false" customHeight="true" outlineLevel="0" collapsed="false">
      <c r="A262" s="40" t="str">
        <f aca="false">IF(B262="","",ROW()-4)</f>
        <v/>
      </c>
      <c r="B262" s="41"/>
      <c r="C262" s="42"/>
      <c r="D262" s="42"/>
      <c r="E262" s="42"/>
      <c r="F262" s="42"/>
      <c r="G262" s="43"/>
      <c r="H262" s="41"/>
      <c r="I262" s="41"/>
    </row>
    <row r="263" customFormat="false" ht="18" hidden="false" customHeight="true" outlineLevel="0" collapsed="false">
      <c r="A263" s="40" t="str">
        <f aca="false">IF(B263="","",ROW()-4)</f>
        <v/>
      </c>
      <c r="B263" s="41"/>
      <c r="C263" s="42"/>
      <c r="D263" s="42"/>
      <c r="E263" s="42"/>
      <c r="F263" s="42"/>
      <c r="G263" s="43"/>
      <c r="H263" s="41"/>
      <c r="I263" s="41"/>
    </row>
    <row r="264" customFormat="false" ht="18" hidden="false" customHeight="true" outlineLevel="0" collapsed="false">
      <c r="A264" s="40" t="str">
        <f aca="false">IF(B264="","",ROW()-4)</f>
        <v/>
      </c>
      <c r="B264" s="41"/>
      <c r="C264" s="42"/>
      <c r="D264" s="42"/>
      <c r="E264" s="42"/>
      <c r="F264" s="42"/>
      <c r="G264" s="43"/>
      <c r="H264" s="41"/>
      <c r="I264" s="41"/>
    </row>
    <row r="265" customFormat="false" ht="18" hidden="false" customHeight="true" outlineLevel="0" collapsed="false">
      <c r="A265" s="40" t="str">
        <f aca="false">IF(B265="","",ROW()-4)</f>
        <v/>
      </c>
      <c r="B265" s="41"/>
      <c r="C265" s="42"/>
      <c r="D265" s="42"/>
      <c r="E265" s="42"/>
      <c r="F265" s="42"/>
      <c r="G265" s="43"/>
      <c r="H265" s="41"/>
      <c r="I265" s="41"/>
    </row>
    <row r="266" customFormat="false" ht="18" hidden="false" customHeight="true" outlineLevel="0" collapsed="false">
      <c r="A266" s="40" t="str">
        <f aca="false">IF(B266="","",ROW()-4)</f>
        <v/>
      </c>
      <c r="B266" s="41"/>
      <c r="C266" s="42"/>
      <c r="D266" s="42"/>
      <c r="E266" s="42"/>
      <c r="F266" s="42"/>
      <c r="G266" s="43"/>
      <c r="H266" s="41"/>
      <c r="I266" s="41"/>
    </row>
    <row r="267" customFormat="false" ht="18" hidden="false" customHeight="true" outlineLevel="0" collapsed="false">
      <c r="A267" s="40" t="str">
        <f aca="false">IF(B267="","",ROW()-4)</f>
        <v/>
      </c>
      <c r="B267" s="41"/>
      <c r="C267" s="42"/>
      <c r="D267" s="42"/>
      <c r="E267" s="42"/>
      <c r="F267" s="42"/>
      <c r="G267" s="43"/>
      <c r="H267" s="41"/>
      <c r="I267" s="41"/>
    </row>
    <row r="268" customFormat="false" ht="18" hidden="false" customHeight="true" outlineLevel="0" collapsed="false">
      <c r="A268" s="40" t="str">
        <f aca="false">IF(B268="","",ROW()-4)</f>
        <v/>
      </c>
      <c r="B268" s="41"/>
      <c r="C268" s="42"/>
      <c r="D268" s="42"/>
      <c r="E268" s="42"/>
      <c r="F268" s="42"/>
      <c r="G268" s="43"/>
      <c r="H268" s="41"/>
      <c r="I268" s="41"/>
    </row>
    <row r="269" customFormat="false" ht="18" hidden="false" customHeight="true" outlineLevel="0" collapsed="false">
      <c r="A269" s="40" t="str">
        <f aca="false">IF(B269="","",ROW()-4)</f>
        <v/>
      </c>
      <c r="B269" s="41"/>
      <c r="C269" s="42"/>
      <c r="D269" s="42"/>
      <c r="E269" s="42"/>
      <c r="F269" s="42"/>
      <c r="G269" s="43"/>
      <c r="H269" s="41"/>
      <c r="I269" s="41"/>
    </row>
    <row r="270" customFormat="false" ht="18" hidden="false" customHeight="true" outlineLevel="0" collapsed="false">
      <c r="A270" s="40" t="str">
        <f aca="false">IF(B270="","",ROW()-4)</f>
        <v/>
      </c>
      <c r="B270" s="41"/>
      <c r="C270" s="42"/>
      <c r="D270" s="42"/>
      <c r="E270" s="42"/>
      <c r="F270" s="42"/>
      <c r="G270" s="43"/>
      <c r="H270" s="41"/>
      <c r="I270" s="41"/>
    </row>
    <row r="271" customFormat="false" ht="18" hidden="false" customHeight="true" outlineLevel="0" collapsed="false">
      <c r="A271" s="40" t="str">
        <f aca="false">IF(B271="","",ROW()-4)</f>
        <v/>
      </c>
      <c r="B271" s="41"/>
      <c r="C271" s="42"/>
      <c r="D271" s="42"/>
      <c r="E271" s="42"/>
      <c r="F271" s="42"/>
      <c r="G271" s="43"/>
      <c r="H271" s="41"/>
      <c r="I271" s="41"/>
    </row>
    <row r="272" customFormat="false" ht="18" hidden="false" customHeight="true" outlineLevel="0" collapsed="false">
      <c r="A272" s="40" t="str">
        <f aca="false">IF(B272="","",ROW()-4)</f>
        <v/>
      </c>
      <c r="B272" s="41"/>
      <c r="C272" s="42"/>
      <c r="D272" s="42"/>
      <c r="E272" s="42"/>
      <c r="F272" s="42"/>
      <c r="G272" s="43"/>
      <c r="H272" s="41"/>
      <c r="I272" s="41"/>
    </row>
    <row r="273" customFormat="false" ht="18" hidden="false" customHeight="true" outlineLevel="0" collapsed="false">
      <c r="A273" s="40" t="str">
        <f aca="false">IF(B273="","",ROW()-4)</f>
        <v/>
      </c>
      <c r="B273" s="41"/>
      <c r="C273" s="42"/>
      <c r="D273" s="42"/>
      <c r="E273" s="42"/>
      <c r="F273" s="42"/>
      <c r="G273" s="43"/>
      <c r="H273" s="41"/>
      <c r="I273" s="41"/>
    </row>
    <row r="274" customFormat="false" ht="18" hidden="false" customHeight="true" outlineLevel="0" collapsed="false">
      <c r="A274" s="40" t="str">
        <f aca="false">IF(B274="","",ROW()-4)</f>
        <v/>
      </c>
      <c r="B274" s="41"/>
      <c r="C274" s="42"/>
      <c r="D274" s="42"/>
      <c r="E274" s="42"/>
      <c r="F274" s="42"/>
      <c r="G274" s="43"/>
      <c r="H274" s="41"/>
      <c r="I274" s="41"/>
    </row>
    <row r="275" customFormat="false" ht="18" hidden="false" customHeight="true" outlineLevel="0" collapsed="false">
      <c r="A275" s="40" t="str">
        <f aca="false">IF(B275="","",ROW()-4)</f>
        <v/>
      </c>
      <c r="B275" s="41"/>
      <c r="C275" s="42"/>
      <c r="D275" s="42"/>
      <c r="E275" s="42"/>
      <c r="F275" s="42"/>
      <c r="G275" s="43"/>
      <c r="H275" s="41"/>
      <c r="I275" s="41"/>
    </row>
    <row r="276" customFormat="false" ht="18" hidden="false" customHeight="true" outlineLevel="0" collapsed="false">
      <c r="A276" s="40" t="str">
        <f aca="false">IF(B276="","",ROW()-4)</f>
        <v/>
      </c>
      <c r="B276" s="41"/>
      <c r="C276" s="42"/>
      <c r="D276" s="42"/>
      <c r="E276" s="42"/>
      <c r="F276" s="42"/>
      <c r="G276" s="43"/>
      <c r="H276" s="41"/>
      <c r="I276" s="41"/>
    </row>
    <row r="277" customFormat="false" ht="18" hidden="false" customHeight="true" outlineLevel="0" collapsed="false">
      <c r="A277" s="40" t="str">
        <f aca="false">IF(B277="","",ROW()-4)</f>
        <v/>
      </c>
      <c r="B277" s="41"/>
      <c r="C277" s="42"/>
      <c r="D277" s="42"/>
      <c r="E277" s="42"/>
      <c r="F277" s="42"/>
      <c r="G277" s="43"/>
      <c r="H277" s="41"/>
      <c r="I277" s="41"/>
    </row>
    <row r="278" customFormat="false" ht="18" hidden="false" customHeight="true" outlineLevel="0" collapsed="false">
      <c r="A278" s="40" t="str">
        <f aca="false">IF(B278="","",ROW()-4)</f>
        <v/>
      </c>
      <c r="B278" s="41"/>
      <c r="C278" s="42"/>
      <c r="D278" s="42"/>
      <c r="E278" s="42"/>
      <c r="F278" s="42"/>
      <c r="G278" s="43"/>
      <c r="H278" s="41"/>
      <c r="I278" s="41"/>
    </row>
    <row r="279" customFormat="false" ht="18" hidden="false" customHeight="true" outlineLevel="0" collapsed="false">
      <c r="A279" s="40" t="str">
        <f aca="false">IF(B279="","",ROW()-4)</f>
        <v/>
      </c>
      <c r="B279" s="41"/>
      <c r="C279" s="42"/>
      <c r="D279" s="42"/>
      <c r="E279" s="42"/>
      <c r="F279" s="42"/>
      <c r="G279" s="43"/>
      <c r="H279" s="41"/>
      <c r="I279" s="41"/>
    </row>
    <row r="280" customFormat="false" ht="18" hidden="false" customHeight="true" outlineLevel="0" collapsed="false">
      <c r="A280" s="40" t="str">
        <f aca="false">IF(B280="","",ROW()-4)</f>
        <v/>
      </c>
      <c r="B280" s="41"/>
      <c r="C280" s="42"/>
      <c r="D280" s="42"/>
      <c r="E280" s="42"/>
      <c r="F280" s="42"/>
      <c r="G280" s="43"/>
      <c r="H280" s="41"/>
      <c r="I280" s="41"/>
    </row>
    <row r="281" customFormat="false" ht="18" hidden="false" customHeight="true" outlineLevel="0" collapsed="false">
      <c r="A281" s="40" t="str">
        <f aca="false">IF(B281="","",ROW()-4)</f>
        <v/>
      </c>
      <c r="B281" s="41"/>
      <c r="C281" s="42"/>
      <c r="D281" s="42"/>
      <c r="E281" s="42"/>
      <c r="F281" s="42"/>
      <c r="G281" s="43"/>
      <c r="H281" s="41"/>
      <c r="I281" s="41"/>
    </row>
    <row r="282" customFormat="false" ht="18" hidden="false" customHeight="true" outlineLevel="0" collapsed="false">
      <c r="A282" s="40" t="str">
        <f aca="false">IF(B282="","",ROW()-4)</f>
        <v/>
      </c>
      <c r="B282" s="41"/>
      <c r="C282" s="42"/>
      <c r="D282" s="42"/>
      <c r="E282" s="42"/>
      <c r="F282" s="42"/>
      <c r="G282" s="43"/>
      <c r="H282" s="41"/>
      <c r="I282" s="41"/>
    </row>
    <row r="283" customFormat="false" ht="18" hidden="false" customHeight="true" outlineLevel="0" collapsed="false">
      <c r="A283" s="40" t="str">
        <f aca="false">IF(B283="","",ROW()-4)</f>
        <v/>
      </c>
      <c r="B283" s="41"/>
      <c r="C283" s="42"/>
      <c r="D283" s="42"/>
      <c r="E283" s="42"/>
      <c r="F283" s="42"/>
      <c r="G283" s="43"/>
      <c r="H283" s="41"/>
      <c r="I283" s="41"/>
    </row>
    <row r="284" customFormat="false" ht="18" hidden="false" customHeight="true" outlineLevel="0" collapsed="false">
      <c r="A284" s="40" t="str">
        <f aca="false">IF(B284="","",ROW()-4)</f>
        <v/>
      </c>
      <c r="B284" s="41"/>
      <c r="C284" s="42"/>
      <c r="D284" s="42"/>
      <c r="E284" s="42"/>
      <c r="F284" s="42"/>
      <c r="G284" s="43"/>
      <c r="H284" s="41"/>
      <c r="I284" s="41"/>
    </row>
    <row r="285" customFormat="false" ht="18" hidden="false" customHeight="true" outlineLevel="0" collapsed="false">
      <c r="A285" s="40" t="str">
        <f aca="false">IF(B285="","",ROW()-4)</f>
        <v/>
      </c>
      <c r="B285" s="41"/>
      <c r="C285" s="42"/>
      <c r="D285" s="42"/>
      <c r="E285" s="42"/>
      <c r="F285" s="42"/>
      <c r="G285" s="43"/>
      <c r="H285" s="41"/>
      <c r="I285" s="41"/>
    </row>
    <row r="286" customFormat="false" ht="18" hidden="false" customHeight="true" outlineLevel="0" collapsed="false">
      <c r="A286" s="40" t="str">
        <f aca="false">IF(B286="","",ROW()-4)</f>
        <v/>
      </c>
      <c r="B286" s="41"/>
      <c r="C286" s="42"/>
      <c r="D286" s="42"/>
      <c r="E286" s="42"/>
      <c r="F286" s="42"/>
      <c r="G286" s="43"/>
      <c r="H286" s="41"/>
      <c r="I286" s="41"/>
    </row>
    <row r="287" customFormat="false" ht="18" hidden="false" customHeight="true" outlineLevel="0" collapsed="false">
      <c r="A287" s="40" t="str">
        <f aca="false">IF(B287="","",ROW()-4)</f>
        <v/>
      </c>
      <c r="B287" s="41"/>
      <c r="C287" s="42"/>
      <c r="D287" s="42"/>
      <c r="E287" s="42"/>
      <c r="F287" s="42"/>
      <c r="G287" s="43"/>
      <c r="H287" s="41"/>
      <c r="I287" s="41"/>
    </row>
    <row r="288" customFormat="false" ht="18" hidden="false" customHeight="true" outlineLevel="0" collapsed="false">
      <c r="A288" s="40" t="str">
        <f aca="false">IF(B288="","",ROW()-4)</f>
        <v/>
      </c>
      <c r="B288" s="41"/>
      <c r="C288" s="42"/>
      <c r="D288" s="42"/>
      <c r="E288" s="42"/>
      <c r="F288" s="42"/>
      <c r="G288" s="43"/>
      <c r="H288" s="41"/>
      <c r="I288" s="41"/>
    </row>
    <row r="289" customFormat="false" ht="18" hidden="false" customHeight="true" outlineLevel="0" collapsed="false">
      <c r="A289" s="40" t="str">
        <f aca="false">IF(B289="","",ROW()-4)</f>
        <v/>
      </c>
      <c r="B289" s="41"/>
      <c r="C289" s="42"/>
      <c r="D289" s="42"/>
      <c r="E289" s="42"/>
      <c r="F289" s="42"/>
      <c r="G289" s="43"/>
      <c r="H289" s="41"/>
      <c r="I289" s="41"/>
    </row>
    <row r="290" customFormat="false" ht="18" hidden="false" customHeight="true" outlineLevel="0" collapsed="false">
      <c r="A290" s="40" t="str">
        <f aca="false">IF(B290="","",ROW()-4)</f>
        <v/>
      </c>
      <c r="B290" s="41"/>
      <c r="C290" s="42"/>
      <c r="D290" s="42"/>
      <c r="E290" s="42"/>
      <c r="F290" s="42"/>
      <c r="G290" s="43"/>
      <c r="H290" s="41"/>
      <c r="I290" s="41"/>
    </row>
    <row r="291" customFormat="false" ht="18" hidden="false" customHeight="true" outlineLevel="0" collapsed="false">
      <c r="A291" s="40" t="str">
        <f aca="false">IF(B291="","",ROW()-4)</f>
        <v/>
      </c>
      <c r="B291" s="41"/>
      <c r="C291" s="42"/>
      <c r="D291" s="42"/>
      <c r="E291" s="42"/>
      <c r="F291" s="42"/>
      <c r="G291" s="43"/>
      <c r="H291" s="41"/>
      <c r="I291" s="41"/>
    </row>
    <row r="292" customFormat="false" ht="18" hidden="false" customHeight="true" outlineLevel="0" collapsed="false">
      <c r="A292" s="40" t="str">
        <f aca="false">IF(B292="","",ROW()-4)</f>
        <v/>
      </c>
      <c r="B292" s="41"/>
      <c r="C292" s="42"/>
      <c r="D292" s="42"/>
      <c r="E292" s="42"/>
      <c r="F292" s="42"/>
      <c r="G292" s="43"/>
      <c r="H292" s="41"/>
      <c r="I292" s="41"/>
    </row>
    <row r="293" customFormat="false" ht="18" hidden="false" customHeight="true" outlineLevel="0" collapsed="false">
      <c r="A293" s="40" t="str">
        <f aca="false">IF(B293="","",ROW()-4)</f>
        <v/>
      </c>
      <c r="B293" s="41"/>
      <c r="C293" s="42"/>
      <c r="D293" s="42"/>
      <c r="E293" s="42"/>
      <c r="F293" s="42"/>
      <c r="G293" s="43"/>
      <c r="H293" s="41"/>
      <c r="I293" s="41"/>
    </row>
    <row r="294" customFormat="false" ht="18" hidden="false" customHeight="true" outlineLevel="0" collapsed="false">
      <c r="A294" s="40" t="str">
        <f aca="false">IF(B294="","",ROW()-4)</f>
        <v/>
      </c>
      <c r="B294" s="41"/>
      <c r="C294" s="42"/>
      <c r="D294" s="42"/>
      <c r="E294" s="42"/>
      <c r="F294" s="42"/>
      <c r="G294" s="43"/>
      <c r="H294" s="41"/>
      <c r="I294" s="41"/>
    </row>
    <row r="295" customFormat="false" ht="18" hidden="false" customHeight="true" outlineLevel="0" collapsed="false">
      <c r="A295" s="40" t="str">
        <f aca="false">IF(B295="","",ROW()-4)</f>
        <v/>
      </c>
      <c r="B295" s="41"/>
      <c r="C295" s="42"/>
      <c r="D295" s="42"/>
      <c r="E295" s="42"/>
      <c r="F295" s="42"/>
      <c r="G295" s="43"/>
      <c r="H295" s="41"/>
      <c r="I295" s="41"/>
    </row>
    <row r="296" customFormat="false" ht="18" hidden="false" customHeight="true" outlineLevel="0" collapsed="false">
      <c r="A296" s="40" t="str">
        <f aca="false">IF(B296="","",ROW()-4)</f>
        <v/>
      </c>
      <c r="B296" s="41"/>
      <c r="C296" s="42"/>
      <c r="D296" s="42"/>
      <c r="E296" s="42"/>
      <c r="F296" s="42"/>
      <c r="G296" s="43"/>
      <c r="H296" s="41"/>
      <c r="I296" s="41"/>
    </row>
    <row r="297" customFormat="false" ht="18" hidden="false" customHeight="true" outlineLevel="0" collapsed="false">
      <c r="A297" s="40" t="str">
        <f aca="false">IF(B297="","",ROW()-4)</f>
        <v/>
      </c>
      <c r="B297" s="41"/>
      <c r="C297" s="42"/>
      <c r="D297" s="42"/>
      <c r="E297" s="42"/>
      <c r="F297" s="42"/>
      <c r="G297" s="43"/>
      <c r="H297" s="41"/>
      <c r="I297" s="41"/>
    </row>
    <row r="298" customFormat="false" ht="18" hidden="false" customHeight="true" outlineLevel="0" collapsed="false">
      <c r="A298" s="40" t="str">
        <f aca="false">IF(B298="","",ROW()-4)</f>
        <v/>
      </c>
      <c r="B298" s="41"/>
      <c r="C298" s="42"/>
      <c r="D298" s="42"/>
      <c r="E298" s="42"/>
      <c r="F298" s="42"/>
      <c r="G298" s="43"/>
      <c r="H298" s="41"/>
      <c r="I298" s="41"/>
    </row>
    <row r="299" customFormat="false" ht="18" hidden="false" customHeight="true" outlineLevel="0" collapsed="false">
      <c r="A299" s="40" t="str">
        <f aca="false">IF(B299="","",ROW()-4)</f>
        <v/>
      </c>
      <c r="B299" s="41"/>
      <c r="C299" s="42"/>
      <c r="D299" s="42"/>
      <c r="E299" s="42"/>
      <c r="F299" s="42"/>
      <c r="G299" s="43"/>
      <c r="H299" s="41"/>
      <c r="I299" s="41"/>
    </row>
    <row r="300" customFormat="false" ht="18" hidden="false" customHeight="true" outlineLevel="0" collapsed="false">
      <c r="A300" s="40" t="str">
        <f aca="false">IF(B300="","",ROW()-4)</f>
        <v/>
      </c>
      <c r="B300" s="41"/>
      <c r="C300" s="42"/>
      <c r="D300" s="42"/>
      <c r="E300" s="42"/>
      <c r="F300" s="42"/>
      <c r="G300" s="43"/>
      <c r="H300" s="41"/>
      <c r="I300" s="41"/>
    </row>
    <row r="301" customFormat="false" ht="18" hidden="false" customHeight="true" outlineLevel="0" collapsed="false">
      <c r="A301" s="40" t="str">
        <f aca="false">IF(B301="","",ROW()-4)</f>
        <v/>
      </c>
      <c r="B301" s="41"/>
      <c r="C301" s="42"/>
      <c r="D301" s="42"/>
      <c r="E301" s="42"/>
      <c r="F301" s="42"/>
      <c r="G301" s="43"/>
      <c r="H301" s="41"/>
      <c r="I301" s="41"/>
    </row>
    <row r="302" customFormat="false" ht="18" hidden="false" customHeight="true" outlineLevel="0" collapsed="false">
      <c r="A302" s="40" t="str">
        <f aca="false">IF(B302="","",ROW()-4)</f>
        <v/>
      </c>
      <c r="B302" s="41"/>
      <c r="C302" s="42"/>
      <c r="D302" s="42"/>
      <c r="E302" s="42"/>
      <c r="F302" s="42"/>
      <c r="G302" s="43"/>
      <c r="H302" s="41"/>
      <c r="I302" s="41"/>
    </row>
    <row r="303" customFormat="false" ht="18" hidden="false" customHeight="true" outlineLevel="0" collapsed="false">
      <c r="A303" s="40" t="str">
        <f aca="false">IF(B303="","",ROW()-4)</f>
        <v/>
      </c>
      <c r="B303" s="41"/>
      <c r="C303" s="42"/>
      <c r="D303" s="42"/>
      <c r="E303" s="42"/>
      <c r="F303" s="42"/>
      <c r="G303" s="43"/>
      <c r="H303" s="41"/>
      <c r="I303" s="41"/>
    </row>
    <row r="304" customFormat="false" ht="18" hidden="false" customHeight="true" outlineLevel="0" collapsed="false">
      <c r="A304" s="40" t="str">
        <f aca="false">IF(B304="","",ROW()-4)</f>
        <v/>
      </c>
      <c r="B304" s="41"/>
      <c r="C304" s="42"/>
      <c r="D304" s="42"/>
      <c r="E304" s="42"/>
      <c r="F304" s="42"/>
      <c r="G304" s="43"/>
      <c r="H304" s="41"/>
      <c r="I304" s="41"/>
    </row>
  </sheetData>
  <autoFilter ref="A4:I304"/>
  <conditionalFormatting sqref="A5:I304">
    <cfRule type="expression" priority="2" aboveAverage="0" equalAverage="0" bottom="0" percent="0" rank="0" text="" dxfId="19">
      <formula>$F5="Promoted to Task"</formula>
    </cfRule>
    <cfRule type="expression" priority="3" aboveAverage="0" equalAverage="0" bottom="0" percent="0" rank="0" text="" dxfId="12">
      <formula>$F5="Dropped"</formula>
    </cfRule>
    <cfRule type="expression" priority="4" aboveAverage="0" equalAverage="0" bottom="0" percent="0" rank="0" text="" dxfId="14">
      <formula>$F5="Parked"</formula>
    </cfRule>
    <cfRule type="expression" priority="5" aboveAverage="0" equalAverage="0" bottom="0" percent="0" rank="0" text="" dxfId="16">
      <formula>$F5="Exploring"</formula>
    </cfRule>
    <cfRule type="expression" priority="6" aboveAverage="0" equalAverage="0" bottom="0" percent="0" rank="0" text="" dxfId="20">
      <formula>AND($D5="High",$E5="Low")</formula>
    </cfRule>
  </conditionalFormatting>
  <dataValidations count="4">
    <dataValidation allowBlank="true" errorStyle="stop" operator="between" showDropDown="false" showErrorMessage="false" showInputMessage="false" sqref="C5:C304" type="list">
      <formula1>Lists!$C$4:$C$10</formula1>
      <formula2>0</formula2>
    </dataValidation>
    <dataValidation allowBlank="true" errorStyle="stop" operator="between" showDropDown="false" showErrorMessage="false" showInputMessage="false" sqref="D5:D304" type="list">
      <formula1>Lists!$E$4:$E$6</formula1>
      <formula2>0</formula2>
    </dataValidation>
    <dataValidation allowBlank="true" errorStyle="stop" operator="between" showDropDown="false" showErrorMessage="false" showInputMessage="false" sqref="E5:E304" type="list">
      <formula1>Lists!$E$4:$E$6</formula1>
      <formula2>0</formula2>
    </dataValidation>
    <dataValidation allowBlank="true" errorStyle="stop" operator="between" showDropDown="false" showErrorMessage="false" showInputMessage="false" sqref="F5:F304" type="list">
      <formula1>Lists!$D$4:$D$8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2" t="s">
        <v>93</v>
      </c>
    </row>
    <row r="3" customFormat="false" ht="15" hidden="false" customHeight="false" outlineLevel="0" collapsed="false">
      <c r="A3" s="39" t="s">
        <v>35</v>
      </c>
      <c r="B3" s="39" t="s">
        <v>34</v>
      </c>
      <c r="C3" s="39" t="s">
        <v>33</v>
      </c>
      <c r="D3" s="39" t="s">
        <v>94</v>
      </c>
      <c r="E3" s="39" t="s">
        <v>95</v>
      </c>
    </row>
    <row r="4" customFormat="false" ht="15" hidden="false" customHeight="false" outlineLevel="0" collapsed="false">
      <c r="A4" s="35" t="s">
        <v>52</v>
      </c>
      <c r="B4" s="35" t="s">
        <v>46</v>
      </c>
      <c r="C4" s="35" t="s">
        <v>45</v>
      </c>
      <c r="D4" s="35" t="s">
        <v>86</v>
      </c>
      <c r="E4" s="35" t="s">
        <v>79</v>
      </c>
    </row>
    <row r="5" customFormat="false" ht="15" hidden="false" customHeight="false" outlineLevel="0" collapsed="false">
      <c r="A5" s="35" t="s">
        <v>21</v>
      </c>
      <c r="B5" s="35" t="s">
        <v>56</v>
      </c>
      <c r="C5" s="35" t="s">
        <v>50</v>
      </c>
      <c r="D5" s="35" t="s">
        <v>81</v>
      </c>
      <c r="E5" s="35" t="s">
        <v>80</v>
      </c>
    </row>
    <row r="6" customFormat="false" ht="15" hidden="false" customHeight="false" outlineLevel="0" collapsed="false">
      <c r="A6" s="35" t="s">
        <v>68</v>
      </c>
      <c r="B6" s="35" t="s">
        <v>51</v>
      </c>
      <c r="C6" s="35" t="s">
        <v>55</v>
      </c>
      <c r="D6" s="35" t="s">
        <v>96</v>
      </c>
      <c r="E6" s="35" t="s">
        <v>85</v>
      </c>
    </row>
    <row r="7" customFormat="false" ht="15" hidden="false" customHeight="false" outlineLevel="0" collapsed="false">
      <c r="A7" s="35" t="s">
        <v>11</v>
      </c>
      <c r="B7" s="35" t="s">
        <v>64</v>
      </c>
      <c r="C7" s="35" t="s">
        <v>63</v>
      </c>
      <c r="D7" s="35" t="s">
        <v>91</v>
      </c>
    </row>
    <row r="8" customFormat="false" ht="15" hidden="false" customHeight="false" outlineLevel="0" collapsed="false">
      <c r="A8" s="35" t="s">
        <v>23</v>
      </c>
      <c r="C8" s="35" t="s">
        <v>97</v>
      </c>
      <c r="D8" s="35" t="s">
        <v>98</v>
      </c>
    </row>
    <row r="9" customFormat="false" ht="15" hidden="false" customHeight="false" outlineLevel="0" collapsed="false">
      <c r="A9" s="35" t="s">
        <v>24</v>
      </c>
      <c r="C9" s="35" t="s">
        <v>72</v>
      </c>
    </row>
    <row r="10" customFormat="false" ht="15" hidden="false" customHeight="false" outlineLevel="0" collapsed="false">
      <c r="A10" s="35" t="s">
        <v>99</v>
      </c>
      <c r="C10" s="3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100</v>
      </c>
    </row>
    <row r="3" customFormat="false" ht="15" hidden="false" customHeight="false" outlineLevel="0" collapsed="false">
      <c r="B3" s="45" t="s">
        <v>101</v>
      </c>
    </row>
    <row r="4" customFormat="false" ht="15" hidden="false" customHeight="false" outlineLevel="0" collapsed="false">
      <c r="B4" s="46" t="s">
        <v>102</v>
      </c>
    </row>
    <row r="5" customFormat="false" ht="15" hidden="false" customHeight="false" outlineLevel="0" collapsed="false">
      <c r="B5" s="46" t="s">
        <v>103</v>
      </c>
    </row>
    <row r="6" customFormat="false" ht="23.85" hidden="false" customHeight="false" outlineLevel="0" collapsed="false">
      <c r="B6" s="46" t="s">
        <v>104</v>
      </c>
    </row>
    <row r="7" customFormat="false" ht="15" hidden="false" customHeight="false" outlineLevel="0" collapsed="false">
      <c r="B7" s="46" t="s">
        <v>105</v>
      </c>
    </row>
    <row r="8" customFormat="false" ht="15" hidden="false" customHeight="false" outlineLevel="0" collapsed="false">
      <c r="B8" s="46" t="s">
        <v>106</v>
      </c>
    </row>
    <row r="9" customFormat="false" ht="15" hidden="false" customHeight="false" outlineLevel="0" collapsed="false">
      <c r="B9" s="46" t="s">
        <v>107</v>
      </c>
    </row>
    <row r="10" customFormat="false" ht="15" hidden="false" customHeight="false" outlineLevel="0" collapsed="false">
      <c r="B10" s="46"/>
    </row>
    <row r="11" customFormat="false" ht="15" hidden="false" customHeight="false" outlineLevel="0" collapsed="false">
      <c r="B11" s="45" t="s">
        <v>108</v>
      </c>
    </row>
    <row r="12" customFormat="false" ht="23.85" hidden="false" customHeight="false" outlineLevel="0" collapsed="false">
      <c r="B12" s="46" t="s">
        <v>109</v>
      </c>
    </row>
    <row r="13" customFormat="false" ht="15" hidden="false" customHeight="false" outlineLevel="0" collapsed="false">
      <c r="B13" s="46" t="s">
        <v>110</v>
      </c>
    </row>
    <row r="14" customFormat="false" ht="15" hidden="false" customHeight="false" outlineLevel="0" collapsed="false">
      <c r="B14" s="46"/>
    </row>
    <row r="15" customFormat="false" ht="15" hidden="false" customHeight="false" outlineLevel="0" collapsed="false">
      <c r="B15" s="45" t="s">
        <v>111</v>
      </c>
    </row>
    <row r="16" customFormat="false" ht="15" hidden="false" customHeight="false" outlineLevel="0" collapsed="false">
      <c r="B16" s="46" t="s">
        <v>112</v>
      </c>
    </row>
    <row r="17" customFormat="false" ht="15" hidden="false" customHeight="false" outlineLevel="0" collapsed="false">
      <c r="B17" s="46" t="s">
        <v>113</v>
      </c>
    </row>
    <row r="18" customFormat="false" ht="15" hidden="false" customHeight="false" outlineLevel="0" collapsed="false">
      <c r="B18" s="46" t="s">
        <v>114</v>
      </c>
    </row>
    <row r="19" customFormat="false" ht="15" hidden="false" customHeight="false" outlineLevel="0" collapsed="false">
      <c r="B19" s="46" t="s">
        <v>115</v>
      </c>
    </row>
    <row r="20" customFormat="false" ht="15" hidden="false" customHeight="false" outlineLevel="0" collapsed="false">
      <c r="B20" s="4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2026-10-18T01:25:56Z</dcterms:created>
  <dc:creator>openpyxl</dc:creator>
  <dc:description/>
  <dc:language>en-US</dc:language>
  <cp:lastModifiedBy/>
  <dcterms:modified xsi:type="dcterms:W3CDTF">2026-10-18T01:25:56Z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