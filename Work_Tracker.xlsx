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sks" sheetId="2" state="visible" r:id="rId4"/>
    <sheet name="Ideas" sheetId="3" state="visible" r:id="rId5"/>
    <sheet name="Lists" sheetId="4" state="visible" r:id="rId6"/>
    <sheet name="How to Use" sheetId="5" state="visible" r:id="rId7"/>
  </sheets>
  <definedNames>
    <definedName function="false" hidden="false" localSheetId="4" name="_xlnm.Print_Titles" vbProcedure="false">'How to Use'!$4:$4</definedName>
    <definedName function="false" hidden="false" localSheetId="2" name="_xlnm.Print_Titles" vbProcedure="false">Ideas!$4:$4</definedName>
    <definedName function="false" hidden="false" localSheetId="1" name="_xlnm.Print_Titles" vbProcedure="false">Tasks!$4:$4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Average of (Completed - Started) across Done tasks that have both dates.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Days until Due Date. Negative = overdue. Blank when Done, Cancelled or no due date.</t>
        </r>
      </text>
    </comment>
    <comment ref="G4" authorId="0">
      <text>
        <r>
          <rPr>
            <sz val="10"/>
            <rFont val="Arial"/>
            <family val="2"/>
          </rPr>
          <t xml:space="preserve">Auto flag, in priority order: OVERDUE, DUE TODAY, FOLLOW UP (review date reached), DUE SOON (within 3 days), NO DUE DATE.</t>
        </r>
      </text>
    </comment>
    <comment ref="K4" authorId="0">
      <text>
        <r>
          <rPr>
            <sz val="10"/>
            <rFont val="Arial"/>
            <family val="2"/>
          </rPr>
          <t xml:space="preserve">Optional reminder date, separate from the deadline. Use it for 'chase again on...' or 'revisit on...'.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Optional date to revisit this idea. Turns red once reached.</t>
        </r>
      </text>
    </comment>
  </commentList>
</comments>
</file>

<file path=xl/sharedStrings.xml><?xml version="1.0" encoding="utf-8"?>
<sst xmlns="http://schemas.openxmlformats.org/spreadsheetml/2006/main" count="213" uniqueCount="156">
  <si>
    <t xml:space="preserve">Work Overview</t>
  </si>
  <si>
    <t xml:space="preserve">Everything here is calculated from Tasks and Ideas. Start here, then use the filters on Tasks to pick your next action.</t>
  </si>
  <si>
    <t xml:space="preserve">Today</t>
  </si>
  <si>
    <t xml:space="preserve">Needs attention</t>
  </si>
  <si>
    <t xml:space="preserve">Count</t>
  </si>
  <si>
    <t xml:space="preserve">Progress</t>
  </si>
  <si>
    <t xml:space="preserve">Open by priority</t>
  </si>
  <si>
    <t xml:space="preserve">Overdue</t>
  </si>
  <si>
    <t xml:space="preserve">Total tasks</t>
  </si>
  <si>
    <t xml:space="preserve">Due today</t>
  </si>
  <si>
    <t xml:space="preserve">Open tasks</t>
  </si>
  <si>
    <t xml:space="preserve">Due in next 3 days</t>
  </si>
  <si>
    <t xml:space="preserve">Not Started</t>
  </si>
  <si>
    <t xml:space="preserve">Due in next 7 days</t>
  </si>
  <si>
    <t xml:space="preserve">In Progress</t>
  </si>
  <si>
    <t xml:space="preserve">Follow-up / review due</t>
  </si>
  <si>
    <t xml:space="preserve">Done</t>
  </si>
  <si>
    <t xml:space="preserve">Blocked</t>
  </si>
  <si>
    <t xml:space="preserve">Cancelled</t>
  </si>
  <si>
    <t xml:space="preserve">Open by category</t>
  </si>
  <si>
    <t xml:space="preserve">Waiting on someone</t>
  </si>
  <si>
    <t xml:space="preserve">Done in last 7 days</t>
  </si>
  <si>
    <t xml:space="preserve">Postponed</t>
  </si>
  <si>
    <t xml:space="preserve">Completion rate</t>
  </si>
  <si>
    <t xml:space="preserve">Open with no due date</t>
  </si>
  <si>
    <t xml:space="preserve">Avg days to complete</t>
  </si>
  <si>
    <t xml:space="preserve">P1 - Critical still open</t>
  </si>
  <si>
    <t xml:space="preserve">Missing details (hygiene)</t>
  </si>
  <si>
    <t xml:space="preserve">Ideas pipeline</t>
  </si>
  <si>
    <t xml:space="preserve">Task with no status</t>
  </si>
  <si>
    <t xml:space="preserve">Open task with no priority</t>
  </si>
  <si>
    <t xml:space="preserve">Open task with no next action</t>
  </si>
  <si>
    <t xml:space="preserve">Blocked / Waiting with no reason</t>
  </si>
  <si>
    <t xml:space="preserve">Done with no completed date</t>
  </si>
  <si>
    <t xml:space="preserve">Total ideas</t>
  </si>
  <si>
    <t xml:space="preserve">Colour legend</t>
  </si>
  <si>
    <t xml:space="preserve">Quick wins (High impact, Low effort)</t>
  </si>
  <si>
    <t xml:space="preserve">Ideas due for review</t>
  </si>
  <si>
    <t xml:space="preserve">Done (struck through)</t>
  </si>
  <si>
    <t xml:space="preserve">Completion rate excludes cancelled tasks. 'Last 7 days' means today and the previous 6 days. Counts refresh each time the file opens.</t>
  </si>
  <si>
    <t xml:space="preserve">Waiting</t>
  </si>
  <si>
    <t xml:space="preserve">Attention flags in priority order: OVERDUE &gt; DUE TODAY &gt; FOLLOW UP &gt; DUE SOON &gt; NO DUE DATE. Review / follow-up dates are reminders, separate from the deadline.</t>
  </si>
  <si>
    <t xml:space="preserve">Cancelled (greyed)</t>
  </si>
  <si>
    <t xml:space="preserve">Quick-win idea</t>
  </si>
  <si>
    <t xml:space="preserve">Cells you type in</t>
  </si>
  <si>
    <t xml:space="preserve">Calculated cells</t>
  </si>
  <si>
    <t xml:space="preserve">Tasks</t>
  </si>
  <si>
    <t xml:space="preserve">Type in the yellow columns. Grey columns calculate themselves. Filter Status or Attention and sort by Due Date to plan your day.</t>
  </si>
  <si>
    <t xml:space="preserve">ID</t>
  </si>
  <si>
    <t xml:space="preserve">Task</t>
  </si>
  <si>
    <t xml:space="preserve">Status</t>
  </si>
  <si>
    <t xml:space="preserve">Priority</t>
  </si>
  <si>
    <t xml:space="preserve">Due Date</t>
  </si>
  <si>
    <t xml:space="preserve">Days Left</t>
  </si>
  <si>
    <t xml:space="preserve">Attention</t>
  </si>
  <si>
    <t xml:space="preserve">Next Action</t>
  </si>
  <si>
    <t xml:space="preserve">Category</t>
  </si>
  <si>
    <t xml:space="preserve">Blocked By / Waiting On</t>
  </si>
  <si>
    <t xml:space="preserve">Review / Follow-up</t>
  </si>
  <si>
    <t xml:space="preserve">Started</t>
  </si>
  <si>
    <t xml:space="preserve">Completed</t>
  </si>
  <si>
    <t xml:space="preserve">Notes</t>
  </si>
  <si>
    <t xml:space="preserve">Prepare Q4 planning deck</t>
  </si>
  <si>
    <t xml:space="preserve">P1 - Critical</t>
  </si>
  <si>
    <t xml:space="preserve">Finish slides 8-12, send to manager for review</t>
  </si>
  <si>
    <t xml:space="preserve">Project</t>
  </si>
  <si>
    <t xml:space="preserve">Reuse last quarter's template</t>
  </si>
  <si>
    <t xml:space="preserve">Submit expense report</t>
  </si>
  <si>
    <t xml:space="preserve">P3 - Medium</t>
  </si>
  <si>
    <t xml:space="preserve">Collect receipts from travel folder</t>
  </si>
  <si>
    <t xml:space="preserve">Admin</t>
  </si>
  <si>
    <t xml:space="preserve">Follow up with vendor on contract</t>
  </si>
  <si>
    <t xml:space="preserve">P2 - High</t>
  </si>
  <si>
    <t xml:space="preserve">Chase again if no response</t>
  </si>
  <si>
    <t xml:space="preserve">Meeting / Follow-up</t>
  </si>
  <si>
    <t xml:space="preserve">Vendor legal team reply</t>
  </si>
  <si>
    <t xml:space="preserve">Set up CI pipeline for new service</t>
  </si>
  <si>
    <t xml:space="preserve">Ping IT helpdesk ticket #4521</t>
  </si>
  <si>
    <t xml:space="preserve">Need repo access from IT</t>
  </si>
  <si>
    <t xml:space="preserve">Read 'Deep Work' chapter 3</t>
  </si>
  <si>
    <t xml:space="preserve">P4 - Low</t>
  </si>
  <si>
    <t xml:space="preserve">Reschedule to next week</t>
  </si>
  <si>
    <t xml:space="preserve">Learning</t>
  </si>
  <si>
    <t xml:space="preserve">Postponed twice already</t>
  </si>
  <si>
    <t xml:space="preserve">Write handover notes for Priya</t>
  </si>
  <si>
    <t xml:space="preserve">No deadline yet - shows as NO DUE DATE</t>
  </si>
  <si>
    <t xml:space="preserve">Update team onboarding doc</t>
  </si>
  <si>
    <t xml:space="preserve">Shared in team channel</t>
  </si>
  <si>
    <t xml:space="preserve">Ideas &amp; Someday / Maybe</t>
  </si>
  <si>
    <t xml:space="preserve">Capture anything you might do. High impact + low effort rows glow green. Promote an idea by adding it to Tasks and setting its status here to 'Promoted to Task'.</t>
  </si>
  <si>
    <t xml:space="preserve">Idea</t>
  </si>
  <si>
    <t xml:space="preserve">Impact</t>
  </si>
  <si>
    <t xml:space="preserve">Effort</t>
  </si>
  <si>
    <t xml:space="preserve">Review Date</t>
  </si>
  <si>
    <t xml:space="preserve">Added</t>
  </si>
  <si>
    <t xml:space="preserve">Why it matters / Notes</t>
  </si>
  <si>
    <t xml:space="preserve">First Step</t>
  </si>
  <si>
    <t xml:space="preserve">Automate weekly status report</t>
  </si>
  <si>
    <t xml:space="preserve">Exploring</t>
  </si>
  <si>
    <t xml:space="preserve">High</t>
  </si>
  <si>
    <t xml:space="preserve">Medium</t>
  </si>
  <si>
    <t xml:space="preserve">Saves ~1 hr every Friday</t>
  </si>
  <si>
    <t xml:space="preserve">List the data sources the report pulls from</t>
  </si>
  <si>
    <t xml:space="preserve">Learn SQL window functions</t>
  </si>
  <si>
    <t xml:space="preserve">New</t>
  </si>
  <si>
    <t xml:space="preserve">Low</t>
  </si>
  <si>
    <t xml:space="preserve">Keeps coming up in analytics requests</t>
  </si>
  <si>
    <t xml:space="preserve">Find a 1-hour tutorial</t>
  </si>
  <si>
    <t xml:space="preserve">Propose monthly team demo day</t>
  </si>
  <si>
    <t xml:space="preserve">Parked</t>
  </si>
  <si>
    <t xml:space="preserve">Other</t>
  </si>
  <si>
    <t xml:space="preserve">Good for visibility, revisit next quarter</t>
  </si>
  <si>
    <t xml:space="preserve">Build a personal snippets library</t>
  </si>
  <si>
    <t xml:space="preserve">Personal Dev</t>
  </si>
  <si>
    <t xml:space="preserve">Keep re-writing the same helper scripts</t>
  </si>
  <si>
    <t xml:space="preserve">Create a repo and add the three scripts from last week</t>
  </si>
  <si>
    <t xml:space="preserve">Lists &amp; dropdown values</t>
  </si>
  <si>
    <t xml:space="preserve">Add your own categories in the yellow cells (up to 30). Status and priority names drive the Dashboard logic - rename with care.</t>
  </si>
  <si>
    <t xml:space="preserve">Category (editable)</t>
  </si>
  <si>
    <t xml:space="preserve">Task status</t>
  </si>
  <si>
    <t xml:space="preserve">Idea status</t>
  </si>
  <si>
    <t xml:space="preserve">Impact / Effort</t>
  </si>
  <si>
    <t xml:space="preserve">Promoted to Task</t>
  </si>
  <si>
    <t xml:space="preserve">Dropped</t>
  </si>
  <si>
    <t xml:space="preserve">Using your tracker</t>
  </si>
  <si>
    <t xml:space="preserve">A short daily review is enough. Keep tasks specific and next actions practical.</t>
  </si>
  <si>
    <t xml:space="preserve">When</t>
  </si>
  <si>
    <t xml:space="preserve">What to do</t>
  </si>
  <si>
    <t xml:space="preserve">Add work</t>
  </si>
  <si>
    <t xml:space="preserve">Tasks: type the task, pick Status and Priority, add a Due Date and a Next Action. Category is optional. ID, Days Left and Attention fill in automatically.</t>
  </si>
  <si>
    <t xml:space="preserve">Review daily</t>
  </si>
  <si>
    <t xml:space="preserve">Dashboard first. Then in Tasks filter Attention (OVERDUE, DUE TODAY, FOLLOW UP, DUE SOON) or sort by Due Date and work top-down.</t>
  </si>
  <si>
    <t xml:space="preserve">Finish a task</t>
  </si>
  <si>
    <t xml:space="preserve">Set Status to Done and enter the Completed date. Keep the row - it is your work history and feeds 'Done in last 7 days'.</t>
  </si>
  <si>
    <t xml:space="preserve">Postpone</t>
  </si>
  <si>
    <t xml:space="preserve">Set Status to Postponed, move the Due Date, and note why in Notes. If you have pushed it more than twice, consider Cancelled or Ideas.</t>
  </si>
  <si>
    <t xml:space="preserve">Blocked / waiting</t>
  </si>
  <si>
    <t xml:space="preserve">Set Status to Blocked or Waiting, write who or what you are waiting on, add a Next Action, and set a Review / Follow-up date so it resurfaces.</t>
  </si>
  <si>
    <t xml:space="preserve">Follow-up reminders</t>
  </si>
  <si>
    <t xml:space="preserve">Review / Follow-up is a reminder date separate from the deadline. When it arrives the row shows FOLLOW UP and the Dashboard counts it.</t>
  </si>
  <si>
    <t xml:space="preserve">Cancel</t>
  </si>
  <si>
    <t xml:space="preserve">Set Status to Cancelled. The row stays greyed out for history but is excluded from open work and from the completion rate.</t>
  </si>
  <si>
    <t xml:space="preserve">Capture an idea</t>
  </si>
  <si>
    <t xml:space="preserve">Ideas: write it down, rate Impact and Effort, optionally set a Review Date. High impact + Low effort rows glow green: do those first.</t>
  </si>
  <si>
    <t xml:space="preserve">Promote an idea</t>
  </si>
  <si>
    <t xml:space="preserve">Copy the idea into Tasks, then set its idea Status to 'Promoted to Task'. Park or Drop the rest without guilt.</t>
  </si>
  <si>
    <t xml:space="preserve">Review weekly</t>
  </si>
  <si>
    <t xml:space="preserve">Filter Tasks to Blocked, Waiting and Postponed, and Ideas to Parked. For each: chase, reschedule, complete, or drop. Clear the Dashboard 'Missing details' block.</t>
  </si>
  <si>
    <t xml:space="preserve">Customise lists</t>
  </si>
  <si>
    <t xml:space="preserve">Lists sheet: add categories in the yellow cells. Status and priority names are referenced by the Dashboard logic, so keep those unchanged.</t>
  </si>
  <si>
    <t xml:space="preserve">Capacity</t>
  </si>
  <si>
    <t xml:space="preserve">Pre-formatted for 1,000 tasks and 500 ideas. Both are Excel tables, so filters and formatting extend as you add rows.</t>
  </si>
  <si>
    <t xml:space="preserve">Formula cells</t>
  </si>
  <si>
    <t xml:space="preserve">Grey cells (ID, Days Left, Attention) and the whole Dashboard are calculated. Type only in the yellow cells.</t>
  </si>
  <si>
    <t xml:space="preserve">Dates</t>
  </si>
  <si>
    <t xml:space="preserve">Everything is driven by your computer's date (TODAY). There are no popup or email reminders; the colours and the Dashboard are the reminders.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</si>
</sst>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d&quot;, &quot;dd\-mmm\-yyyy"/>
    <numFmt numFmtId="166" formatCode="0"/>
    <numFmt numFmtId="167" formatCode="0%"/>
    <numFmt numFmtId="168" formatCode="0.0"/>
    <numFmt numFmtId="169" formatCode="General"/>
    <numFmt numFmtId="170" formatCode="dd\-mmm\-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24374B"/>
      <name val="Arial"/>
      <family val="0"/>
      <charset val="1"/>
    </font>
    <font>
      <i val="true"/>
      <sz val="10"/>
      <color rgb="FF64748B"/>
      <name val="Arial"/>
      <family val="0"/>
      <charset val="1"/>
    </font>
    <font>
      <b val="true"/>
      <sz val="10"/>
      <color rgb="FF24374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4374B"/>
      <name val="Arial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24374B"/>
        <bgColor rgb="FF003366"/>
      </patternFill>
    </fill>
    <fill>
      <patternFill patternType="solid">
        <fgColor rgb="FFFCE4E4"/>
        <bgColor rgb="FFEDE7F6"/>
      </patternFill>
    </fill>
    <fill>
      <patternFill patternType="solid">
        <fgColor rgb="FFFFF2CC"/>
        <bgColor rgb="FFFFFDE7"/>
      </patternFill>
    </fill>
    <fill>
      <patternFill patternType="solid">
        <fgColor rgb="FFDDEBF7"/>
        <bgColor rgb="FFECECEC"/>
      </patternFill>
    </fill>
    <fill>
      <patternFill patternType="solid">
        <fgColor rgb="FFE2EFDA"/>
        <bgColor rgb="FFECECEC"/>
      </patternFill>
    </fill>
    <fill>
      <patternFill patternType="solid">
        <fgColor rgb="FFECECEC"/>
        <bgColor rgb="FFEDE7F6"/>
      </patternFill>
    </fill>
    <fill>
      <patternFill patternType="solid">
        <fgColor rgb="FFEDE7F6"/>
        <bgColor rgb="FFECECEC"/>
      </patternFill>
    </fill>
    <fill>
      <patternFill patternType="solid">
        <fgColor rgb="FFC6EFCE"/>
        <bgColor rgb="FFE2EFDA"/>
      </patternFill>
    </fill>
    <fill>
      <patternFill patternType="solid">
        <fgColor rgb="FFFFFDE7"/>
        <bgColor rgb="FFFFFFFF"/>
      </patternFill>
    </fill>
    <fill>
      <patternFill patternType="solid">
        <fgColor rgb="FFF1F5F9"/>
        <bgColor rgb="FFECEC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5"/>
      </left>
      <right style="thin">
        <color rgb="FFD9DEE5"/>
      </right>
      <top style="thin">
        <color rgb="FFD9DEE5"/>
      </top>
      <bottom style="thin">
        <color rgb="FFD9DE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24374B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8C8D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DE7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ont>
        <name val="Arial"/>
        <charset val="1"/>
        <family val="0"/>
        <strike val="1"/>
        <color rgb="FF7F8C8D"/>
        <sz val="10"/>
      </font>
      <fill>
        <patternFill>
          <bgColor rgb="FFE2EFDA"/>
        </patternFill>
      </fill>
    </dxf>
    <dxf>
      <font>
        <name val="Arial"/>
        <charset val="1"/>
        <family val="0"/>
        <strike val="1"/>
        <color rgb="FFA6A6A6"/>
        <sz val="10"/>
      </font>
      <fill>
        <patternFill>
          <bgColor rgb="FFECECEC"/>
        </patternFill>
      </fill>
    </dxf>
    <dxf>
      <fill>
        <patternFill>
          <bgColor rgb="FFFCE4E4"/>
        </patternFill>
      </fill>
    </dxf>
    <dxf>
      <fill>
        <patternFill>
          <bgColor rgb="FFFFF2CC"/>
        </patternFill>
      </fill>
    </dxf>
    <dxf>
      <fill>
        <patternFill>
          <bgColor rgb="FFEDE7F6"/>
        </patternFill>
      </fill>
    </dxf>
    <dxf>
      <fill>
        <patternFill>
          <bgColor rgb="FFDDEBF7"/>
        </patternFill>
      </fill>
    </dxf>
    <dxf>
      <font>
        <name val="Arial"/>
        <charset val="1"/>
        <family val="0"/>
        <b val="1"/>
        <color rgb="FFC00000"/>
        <sz val="10"/>
      </font>
    </dxf>
    <dxf>
      <font>
        <name val="Arial"/>
        <charset val="1"/>
        <family val="0"/>
        <b val="1"/>
        <color rgb="FFBF8F00"/>
        <sz val="10"/>
      </font>
    </dxf>
    <dxf>
      <font>
        <name val="Arial"/>
        <charset val="1"/>
        <family val="0"/>
        <i val="1"/>
        <color rgb="FF64748B"/>
        <sz val="10"/>
      </font>
    </dxf>
    <dxf>
      <fill>
        <patternFill patternType="solid">
          <fgColor rgb="FFC6EFCE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7030A0"/>
      <rgbColor rgb="FFFFFDE7"/>
      <rgbColor rgb="FFDDEBF7"/>
      <rgbColor rgb="FF660066"/>
      <rgbColor rgb="FFFF8080"/>
      <rgbColor rgb="FF0066CC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2CC"/>
      <rgbColor rgb="FFEDE7F6"/>
      <rgbColor rgb="FFECECEC"/>
      <rgbColor rgb="FFF1F5F9"/>
      <rgbColor rgb="FFFCE4E4"/>
      <rgbColor rgb="FF3366FF"/>
      <rgbColor rgb="FF33CCCC"/>
      <rgbColor rgb="FF99CC00"/>
      <rgbColor rgb="FFFFCC00"/>
      <rgbColor rgb="FFBF8F00"/>
      <rgbColor rgb="FFFF6600"/>
      <rgbColor rgb="FF64748B"/>
      <rgbColor rgb="FF7F8C8D"/>
      <rgbColor rgb="FF003366"/>
      <rgbColor rgb="FF00B050"/>
      <rgbColor rgb="FF003300"/>
      <rgbColor rgb="FF333300"/>
      <rgbColor rgb="FF993300"/>
      <rgbColor rgb="FF993366"/>
      <rgbColor rgb="FF333399"/>
      <rgbColor rgb="FF2437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WorkIdeas" displayName="WorkIdeas" ref="A4:J504" headerRowCount="1" totalsRowCount="0" totalsRowShown="0">
  <autoFilter ref="A4:J504"/>
  <tableColumns count="10">
    <tableColumn id="1" name="ID"/>
    <tableColumn id="2" name="Idea"/>
    <tableColumn id="3" name="Status"/>
    <tableColumn id="4" name="Impact"/>
    <tableColumn id="5" name="Effort"/>
    <tableColumn id="6" name="Category"/>
    <tableColumn id="7" name="Review Date"/>
    <tableColumn id="8" name="Added"/>
    <tableColumn id="9" name="Why it matters / Notes"/>
    <tableColumn id="10" name="First Step"/>
  </tableColumns>
</table>
</file>

<file path=xl/tables/table2.xml><?xml version="1.0" encoding="utf-8"?>
<table xmlns="http://schemas.openxmlformats.org/spreadsheetml/2006/main" id="2" name="WorkTasks" displayName="WorkTasks" ref="A4:N1004" headerRowCount="1" totalsRowCount="0" totalsRowShown="0">
  <autoFilter ref="A4:N1004"/>
  <tableColumns count="14">
    <tableColumn id="1" name="ID"/>
    <tableColumn id="2" name="Task"/>
    <tableColumn id="3" name="Status"/>
    <tableColumn id="4" name="Priority"/>
    <tableColumn id="5" name="Due Date"/>
    <tableColumn id="6" name="Days Left"/>
    <tableColumn id="7" name="Attention"/>
    <tableColumn id="8" name="Next Action"/>
    <tableColumn id="9" name="Category"/>
    <tableColumn id="10" name="Blocked By / Waiting On"/>
    <tableColumn id="11" name="Review / Follow-up"/>
    <tableColumn id="12" name="Started"/>
    <tableColumn id="13" name="Completed"/>
    <tableColumn id="14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true"/>
  </sheetPr>
  <dimension ref="A1:H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"/>
    <col collapsed="false" customWidth="true" hidden="false" outlineLevel="0" max="3" min="3" style="0" width="3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3"/>
    <col collapsed="false" customWidth="true" hidden="false" outlineLevel="0" max="7" min="7" style="0" width="28"/>
    <col collapsed="false" customWidth="true" hidden="false" outlineLevel="0" max="8" min="8" style="0" width="11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G2" s="3" t="s">
        <v>2</v>
      </c>
      <c r="H2" s="4" t="n">
        <f aca="true">TODAY()</f>
        <v>46313</v>
      </c>
    </row>
    <row r="4" customFormat="false" ht="19.5" hidden="false" customHeight="true" outlineLevel="0" collapsed="false">
      <c r="A4" s="5" t="s">
        <v>3</v>
      </c>
      <c r="B4" s="6" t="s">
        <v>4</v>
      </c>
      <c r="D4" s="5" t="s">
        <v>5</v>
      </c>
      <c r="E4" s="6" t="s">
        <v>4</v>
      </c>
      <c r="G4" s="5" t="s">
        <v>6</v>
      </c>
      <c r="H4" s="6" t="s">
        <v>4</v>
      </c>
    </row>
    <row r="5" customFormat="false" ht="15" hidden="false" customHeight="false" outlineLevel="0" collapsed="false">
      <c r="A5" s="7" t="s">
        <v>7</v>
      </c>
      <c r="B5" s="8" t="n">
        <f aca="false">COUNTIFS(Tasks!$G$5:$G$1004,"OVERDUE")</f>
        <v>0</v>
      </c>
      <c r="D5" s="9" t="s">
        <v>8</v>
      </c>
      <c r="E5" s="10" t="n">
        <f aca="false">COUNTIFS(Tasks!$B$5:$B$1004,"&lt;&gt;")</f>
        <v>7</v>
      </c>
      <c r="G5" s="7" t="str">
        <f aca="false">Lists!C5</f>
        <v>P1 - Critical</v>
      </c>
      <c r="H5" s="8" t="n">
        <f aca="false">COUNTIFS(Tasks!$B$5:$B$1004,"&lt;&gt;",Tasks!$C$5:$C$1004,"&lt;&gt;Done",Tasks!$C$5:$C$1004,"&lt;&gt;Cancelled",Tasks!$D$5:$D$1004,Lists!C5)</f>
        <v>1</v>
      </c>
    </row>
    <row r="6" customFormat="false" ht="15" hidden="false" customHeight="false" outlineLevel="0" collapsed="false">
      <c r="A6" s="11" t="s">
        <v>9</v>
      </c>
      <c r="B6" s="12" t="n">
        <f aca="false">COUNTIFS(Tasks!$G$5:$G$1004,"DUE TODAY")</f>
        <v>0</v>
      </c>
      <c r="D6" s="13" t="s">
        <v>10</v>
      </c>
      <c r="E6" s="10" t="n">
        <f aca="false">COUNTIFS(Tasks!$B$5:$B$1004,"&lt;&gt;",Tasks!$C$5:$C$1004,"&lt;&gt;Done",Tasks!$C$5:$C$1004,"&lt;&gt;Cancelled")</f>
        <v>6</v>
      </c>
      <c r="G6" s="13" t="str">
        <f aca="false">Lists!C6</f>
        <v>P2 - High</v>
      </c>
      <c r="H6" s="10" t="n">
        <f aca="false">COUNTIFS(Tasks!$B$5:$B$1004,"&lt;&gt;",Tasks!$C$5:$C$1004,"&lt;&gt;Done",Tasks!$C$5:$C$1004,"&lt;&gt;Cancelled",Tasks!$D$5:$D$1004,Lists!C6)</f>
        <v>3</v>
      </c>
    </row>
    <row r="7" customFormat="false" ht="15" hidden="false" customHeight="false" outlineLevel="0" collapsed="false">
      <c r="A7" s="11" t="s">
        <v>11</v>
      </c>
      <c r="B7" s="12" t="n">
        <f aca="true">COUNTIFS(Tasks!$B$5:$B$1004,"&lt;&gt;",Tasks!$C$5:$C$1004,"&lt;&gt;Done",Tasks!$C$5:$C$1004,"&lt;&gt;Cancelled",Tasks!$E$5:$E$1004,"&gt;"&amp;TODAY(),Tasks!$E$5:$E$1004,"&lt;="&amp;TODAY()+3)</f>
        <v>1</v>
      </c>
      <c r="D7" s="13" t="s">
        <v>12</v>
      </c>
      <c r="E7" s="10" t="n">
        <f aca="false">COUNTIFS(Tasks!$B$5:$B$1004,"&lt;&gt;",Tasks!$C$5:$C$1004,"Not Started")</f>
        <v>2</v>
      </c>
      <c r="G7" s="13" t="str">
        <f aca="false">Lists!C7</f>
        <v>P3 - Medium</v>
      </c>
      <c r="H7" s="10" t="n">
        <f aca="false">COUNTIFS(Tasks!$B$5:$B$1004,"&lt;&gt;",Tasks!$C$5:$C$1004,"&lt;&gt;Done",Tasks!$C$5:$C$1004,"&lt;&gt;Cancelled",Tasks!$D$5:$D$1004,Lists!C7)</f>
        <v>1</v>
      </c>
    </row>
    <row r="8" customFormat="false" ht="15" hidden="false" customHeight="false" outlineLevel="0" collapsed="false">
      <c r="A8" s="13" t="s">
        <v>13</v>
      </c>
      <c r="B8" s="10" t="n">
        <f aca="true">COUNTIFS(Tasks!$B$5:$B$1004,"&lt;&gt;",Tasks!$C$5:$C$1004,"&lt;&gt;Done",Tasks!$C$5:$C$1004,"&lt;&gt;Cancelled",Tasks!$E$5:$E$1004,"&gt;="&amp;TODAY(),Tasks!$E$5:$E$1004,"&lt;="&amp;TODAY()+7)</f>
        <v>2</v>
      </c>
      <c r="D8" s="14" t="s">
        <v>14</v>
      </c>
      <c r="E8" s="15" t="n">
        <f aca="false">COUNTIFS(Tasks!$B$5:$B$1004,"&lt;&gt;",Tasks!$C$5:$C$1004,"In Progress")</f>
        <v>1</v>
      </c>
      <c r="G8" s="13" t="str">
        <f aca="false">Lists!C8</f>
        <v>P4 - Low</v>
      </c>
      <c r="H8" s="10" t="n">
        <f aca="false">COUNTIFS(Tasks!$B$5:$B$1004,"&lt;&gt;",Tasks!$C$5:$C$1004,"&lt;&gt;Done",Tasks!$C$5:$C$1004,"&lt;&gt;Cancelled",Tasks!$D$5:$D$1004,Lists!C8)</f>
        <v>1</v>
      </c>
    </row>
    <row r="9" customFormat="false" ht="15" hidden="false" customHeight="false" outlineLevel="0" collapsed="false">
      <c r="A9" s="11" t="s">
        <v>15</v>
      </c>
      <c r="B9" s="12" t="n">
        <f aca="true">COUNTIFS(Tasks!$B$5:$B$1004,"&lt;&gt;",Tasks!$C$5:$C$1004,"&lt;&gt;Done",Tasks!$C$5:$C$1004,"&lt;&gt;Cancelled",Tasks!$K$5:$K$1004,"&lt;&gt;",Tasks!$K$5:$K$1004,"&lt;="&amp;TODAY())</f>
        <v>1</v>
      </c>
      <c r="D9" s="16" t="s">
        <v>16</v>
      </c>
      <c r="E9" s="17" t="n">
        <f aca="false">COUNTIFS(Tasks!$B$5:$B$1004,"&lt;&gt;",Tasks!$C$5:$C$1004,"Done")</f>
        <v>1</v>
      </c>
    </row>
    <row r="10" customFormat="false" ht="19.5" hidden="false" customHeight="true" outlineLevel="0" collapsed="false">
      <c r="A10" s="7" t="s">
        <v>17</v>
      </c>
      <c r="B10" s="8" t="n">
        <f aca="false">COUNTIFS(Tasks!$B$5:$B$1004,"&lt;&gt;",Tasks!$C$5:$C$1004,"Blocked")</f>
        <v>1</v>
      </c>
      <c r="D10" s="18" t="s">
        <v>18</v>
      </c>
      <c r="E10" s="19" t="n">
        <f aca="false">COUNTIFS(Tasks!$B$5:$B$1004,"&lt;&gt;",Tasks!$C$5:$C$1004,"Cancelled")</f>
        <v>0</v>
      </c>
      <c r="G10" s="5" t="s">
        <v>19</v>
      </c>
      <c r="H10" s="6" t="s">
        <v>4</v>
      </c>
    </row>
    <row r="11" customFormat="false" ht="15" hidden="false" customHeight="false" outlineLevel="0" collapsed="false">
      <c r="A11" s="20" t="s">
        <v>20</v>
      </c>
      <c r="B11" s="21" t="n">
        <f aca="false">COUNTIFS(Tasks!$B$5:$B$1004,"&lt;&gt;",Tasks!$C$5:$C$1004,"Waiting")</f>
        <v>1</v>
      </c>
      <c r="D11" s="13" t="s">
        <v>21</v>
      </c>
      <c r="E11" s="10" t="n">
        <f aca="true">COUNTIFS(Tasks!$B$5:$B$1004,"&lt;&gt;",Tasks!$C$5:$C$1004,"Done",Tasks!$M$5:$M$1004,"&gt;="&amp;TODAY()-6,Tasks!$M$5:$M$1004,"&lt;="&amp;TODAY())</f>
        <v>1</v>
      </c>
      <c r="G11" s="13" t="str">
        <f aca="false">IF(Lists!A5="","",Lists!A5)</f>
        <v>Project</v>
      </c>
      <c r="H11" s="10" t="n">
        <f aca="false">IF(Lists!A5="","",COUNTIFS(Tasks!$B$5:$B$1004,"&lt;&gt;",Tasks!$C$5:$C$1004,"&lt;&gt;Done",Tasks!$C$5:$C$1004,"&lt;&gt;Cancelled",Tasks!$I$5:$I$1004,Lists!A5))</f>
        <v>2</v>
      </c>
    </row>
    <row r="12" customFormat="false" ht="15" hidden="false" customHeight="false" outlineLevel="0" collapsed="false">
      <c r="A12" s="11" t="s">
        <v>22</v>
      </c>
      <c r="B12" s="12" t="n">
        <f aca="false">COUNTIFS(Tasks!$B$5:$B$1004,"&lt;&gt;",Tasks!$C$5:$C$1004,"Postponed")</f>
        <v>1</v>
      </c>
      <c r="D12" s="13" t="s">
        <v>23</v>
      </c>
      <c r="E12" s="22" t="n">
        <f aca="false">IF(E5-E10=0,0,E9/(E5-E10))</f>
        <v>0.142857142857143</v>
      </c>
      <c r="G12" s="13" t="str">
        <f aca="false">IF(Lists!A6="","",Lists!A6)</f>
        <v>Admin</v>
      </c>
      <c r="H12" s="10" t="n">
        <f aca="false">IF(Lists!A6="","",COUNTIFS(Tasks!$B$5:$B$1004,"&lt;&gt;",Tasks!$C$5:$C$1004,"&lt;&gt;Done",Tasks!$C$5:$C$1004,"&lt;&gt;Cancelled",Tasks!$I$5:$I$1004,Lists!A6))</f>
        <v>2</v>
      </c>
    </row>
    <row r="13" customFormat="false" ht="15" hidden="false" customHeight="false" outlineLevel="0" collapsed="false">
      <c r="A13" s="13" t="s">
        <v>24</v>
      </c>
      <c r="B13" s="10" t="n">
        <f aca="false">COUNTIFS(Tasks!$G$5:$G$1004,"NO DUE DATE")</f>
        <v>1</v>
      </c>
      <c r="D13" s="13" t="s">
        <v>25</v>
      </c>
      <c r="E13" s="23" t="n">
        <f aca="false">IFERROR(AVERAGEIFS(Tasks!$M$5:$M$1004,Tasks!$B$5:$B$1004,"&lt;&gt;",Tasks!$C$5:$C$1004,"Done",Tasks!$L$5:$L$1004,"&lt;&gt;")-AVERAGEIFS(Tasks!$L$5:$L$1004,Tasks!$B$5:$B$1004,"&lt;&gt;",Tasks!$C$5:$C$1004,"Done",Tasks!$M$5:$M$1004,"&lt;&gt;"),0)</f>
        <v>4</v>
      </c>
      <c r="G13" s="13" t="str">
        <f aca="false">IF(Lists!A7="","",Lists!A7)</f>
        <v>Meeting / Follow-up</v>
      </c>
      <c r="H13" s="10" t="n">
        <f aca="false">IF(Lists!A7="","",COUNTIFS(Tasks!$B$5:$B$1004,"&lt;&gt;",Tasks!$C$5:$C$1004,"&lt;&gt;Done",Tasks!$C$5:$C$1004,"&lt;&gt;Cancelled",Tasks!$I$5:$I$1004,Lists!A7))</f>
        <v>1</v>
      </c>
    </row>
    <row r="14" customFormat="false" ht="15" hidden="false" customHeight="false" outlineLevel="0" collapsed="false">
      <c r="A14" s="7" t="s">
        <v>26</v>
      </c>
      <c r="B14" s="8" t="n">
        <f aca="false">COUNTIFS(Tasks!$B$5:$B$1004,"&lt;&gt;",Tasks!$C$5:$C$1004,"&lt;&gt;Done",Tasks!$C$5:$C$1004,"&lt;&gt;Cancelled",Tasks!$D$5:$D$1004,"P1 - Critical")</f>
        <v>1</v>
      </c>
      <c r="G14" s="13" t="str">
        <f aca="false">IF(Lists!A8="","",Lists!A8)</f>
        <v>Learning</v>
      </c>
      <c r="H14" s="10" t="n">
        <f aca="false">IF(Lists!A8="","",COUNTIFS(Tasks!$B$5:$B$1004,"&lt;&gt;",Tasks!$C$5:$C$1004,"&lt;&gt;Done",Tasks!$C$5:$C$1004,"&lt;&gt;Cancelled",Tasks!$I$5:$I$1004,Lists!A8))</f>
        <v>1</v>
      </c>
    </row>
    <row r="15" customFormat="false" ht="15" hidden="false" customHeight="false" outlineLevel="0" collapsed="false">
      <c r="G15" s="13" t="str">
        <f aca="false">IF(Lists!A9="","",Lists!A9)</f>
        <v>Personal Dev</v>
      </c>
      <c r="H15" s="10" t="n">
        <f aca="false">IF(Lists!A9="","",COUNTIFS(Tasks!$B$5:$B$1004,"&lt;&gt;",Tasks!$C$5:$C$1004,"&lt;&gt;Done",Tasks!$C$5:$C$1004,"&lt;&gt;Cancelled",Tasks!$I$5:$I$1004,Lists!A9))</f>
        <v>0</v>
      </c>
    </row>
    <row r="16" customFormat="false" ht="19.5" hidden="false" customHeight="true" outlineLevel="0" collapsed="false">
      <c r="A16" s="5" t="s">
        <v>27</v>
      </c>
      <c r="B16" s="6" t="s">
        <v>4</v>
      </c>
      <c r="D16" s="5" t="s">
        <v>28</v>
      </c>
      <c r="E16" s="6" t="s">
        <v>4</v>
      </c>
      <c r="G16" s="13" t="str">
        <f aca="false">IF(Lists!A10="","",Lists!A10)</f>
        <v>Idea</v>
      </c>
      <c r="H16" s="10" t="n">
        <f aca="false">IF(Lists!A10="","",COUNTIFS(Tasks!$B$5:$B$1004,"&lt;&gt;",Tasks!$C$5:$C$1004,"&lt;&gt;Done",Tasks!$C$5:$C$1004,"&lt;&gt;Cancelled",Tasks!$I$5:$I$1004,Lists!A10))</f>
        <v>0</v>
      </c>
    </row>
    <row r="17" customFormat="false" ht="15" hidden="false" customHeight="false" outlineLevel="0" collapsed="false">
      <c r="A17" s="13" t="s">
        <v>29</v>
      </c>
      <c r="B17" s="10" t="n">
        <f aca="false">COUNTIFS(Tasks!$B$5:$B$1004,"&lt;&gt;",Tasks!$C$5:$C$1004,"")</f>
        <v>0</v>
      </c>
      <c r="D17" s="13" t="str">
        <f aca="false">Lists!D5</f>
        <v>New</v>
      </c>
      <c r="E17" s="10" t="n">
        <f aca="false">COUNTIFS(Ideas!$B$5:$B$504,"&lt;&gt;",Ideas!$C$5:$C$504,Lists!D5)</f>
        <v>2</v>
      </c>
      <c r="G17" s="13" t="str">
        <f aca="false">IF(Lists!A11="","",Lists!A11)</f>
        <v>Other</v>
      </c>
      <c r="H17" s="10" t="n">
        <f aca="false">IF(Lists!A11="","",COUNTIFS(Tasks!$B$5:$B$1004,"&lt;&gt;",Tasks!$C$5:$C$1004,"&lt;&gt;Done",Tasks!$C$5:$C$1004,"&lt;&gt;Cancelled",Tasks!$I$5:$I$1004,Lists!A11))</f>
        <v>0</v>
      </c>
    </row>
    <row r="18" customFormat="false" ht="15" hidden="false" customHeight="false" outlineLevel="0" collapsed="false">
      <c r="A18" s="13" t="s">
        <v>30</v>
      </c>
      <c r="B18" s="10" t="n">
        <f aca="false">COUNTIFS(Tasks!$B$5:$B$1004,"&lt;&gt;",Tasks!$C$5:$C$1004,"&lt;&gt;Done",Tasks!$C$5:$C$1004,"&lt;&gt;Cancelled",Tasks!$D$5:$D$1004,"")</f>
        <v>0</v>
      </c>
      <c r="D18" s="13" t="str">
        <f aca="false">Lists!D6</f>
        <v>Exploring</v>
      </c>
      <c r="E18" s="10" t="n">
        <f aca="false">COUNTIFS(Ideas!$B$5:$B$504,"&lt;&gt;",Ideas!$C$5:$C$504,Lists!D6)</f>
        <v>1</v>
      </c>
      <c r="G18" s="13" t="str">
        <f aca="false">IF(Lists!A12="","",Lists!A12)</f>
        <v/>
      </c>
      <c r="H18" s="10" t="str">
        <f aca="false">IF(Lists!A12="","",COUNTIFS(Tasks!$B$5:$B$1004,"&lt;&gt;",Tasks!$C$5:$C$1004,"&lt;&gt;Done",Tasks!$C$5:$C$1004,"&lt;&gt;Cancelled",Tasks!$I$5:$I$1004,Lists!A12))</f>
        <v/>
      </c>
    </row>
    <row r="19" customFormat="false" ht="15" hidden="false" customHeight="false" outlineLevel="0" collapsed="false">
      <c r="A19" s="13" t="s">
        <v>31</v>
      </c>
      <c r="B19" s="10" t="n">
        <f aca="false">COUNTIFS(Tasks!$B$5:$B$1004,"&lt;&gt;",Tasks!$C$5:$C$1004,"&lt;&gt;Done",Tasks!$C$5:$C$1004,"&lt;&gt;Cancelled",Tasks!$H$5:$H$1004,"")</f>
        <v>1</v>
      </c>
      <c r="D19" s="13" t="str">
        <f aca="false">Lists!D7</f>
        <v>Promoted to Task</v>
      </c>
      <c r="E19" s="10" t="n">
        <f aca="false">COUNTIFS(Ideas!$B$5:$B$504,"&lt;&gt;",Ideas!$C$5:$C$504,Lists!D7)</f>
        <v>0</v>
      </c>
      <c r="G19" s="13" t="str">
        <f aca="false">IF(Lists!A13="","",Lists!A13)</f>
        <v/>
      </c>
      <c r="H19" s="10" t="str">
        <f aca="false">IF(Lists!A13="","",COUNTIFS(Tasks!$B$5:$B$1004,"&lt;&gt;",Tasks!$C$5:$C$1004,"&lt;&gt;Done",Tasks!$C$5:$C$1004,"&lt;&gt;Cancelled",Tasks!$I$5:$I$1004,Lists!A13))</f>
        <v/>
      </c>
    </row>
    <row r="20" customFormat="false" ht="15" hidden="false" customHeight="false" outlineLevel="0" collapsed="false">
      <c r="A20" s="13" t="s">
        <v>32</v>
      </c>
      <c r="B20" s="10" t="n">
        <f aca="false">COUNTIFS(Tasks!$B$5:$B$1004,"&lt;&gt;",Tasks!$C$5:$C$1004,"Blocked",Tasks!$J$5:$J$1004,"")+COUNTIFS(Tasks!$B$5:$B$1004,"&lt;&gt;",Tasks!$C$5:$C$1004,"Waiting",Tasks!$J$5:$J$1004,"")</f>
        <v>0</v>
      </c>
      <c r="D20" s="13" t="str">
        <f aca="false">Lists!D8</f>
        <v>Parked</v>
      </c>
      <c r="E20" s="10" t="n">
        <f aca="false">COUNTIFS(Ideas!$B$5:$B$504,"&lt;&gt;",Ideas!$C$5:$C$504,Lists!D8)</f>
        <v>1</v>
      </c>
      <c r="G20" s="13" t="str">
        <f aca="false">IF(Lists!A14="","",Lists!A14)</f>
        <v/>
      </c>
      <c r="H20" s="10" t="str">
        <f aca="false">IF(Lists!A14="","",COUNTIFS(Tasks!$B$5:$B$1004,"&lt;&gt;",Tasks!$C$5:$C$1004,"&lt;&gt;Done",Tasks!$C$5:$C$1004,"&lt;&gt;Cancelled",Tasks!$I$5:$I$1004,Lists!A14))</f>
        <v/>
      </c>
    </row>
    <row r="21" customFormat="false" ht="15" hidden="false" customHeight="false" outlineLevel="0" collapsed="false">
      <c r="A21" s="13" t="s">
        <v>33</v>
      </c>
      <c r="B21" s="10" t="n">
        <f aca="false">COUNTIFS(Tasks!$B$5:$B$1004,"&lt;&gt;",Tasks!$C$5:$C$1004,"Done",Tasks!$M$5:$M$1004,"")</f>
        <v>0</v>
      </c>
      <c r="D21" s="13" t="str">
        <f aca="false">Lists!D9</f>
        <v>Dropped</v>
      </c>
      <c r="E21" s="10" t="n">
        <f aca="false">COUNTIFS(Ideas!$B$5:$B$504,"&lt;&gt;",Ideas!$C$5:$C$504,Lists!D9)</f>
        <v>0</v>
      </c>
    </row>
    <row r="22" customFormat="false" ht="19.5" hidden="false" customHeight="true" outlineLevel="0" collapsed="false">
      <c r="D22" s="9" t="s">
        <v>34</v>
      </c>
      <c r="E22" s="10" t="n">
        <f aca="false">COUNTIFS(Ideas!$B$5:$B$504,"&lt;&gt;")</f>
        <v>4</v>
      </c>
      <c r="G22" s="5" t="s">
        <v>35</v>
      </c>
      <c r="H22" s="6"/>
    </row>
    <row r="23" customFormat="false" ht="23.85" hidden="false" customHeight="false" outlineLevel="0" collapsed="false">
      <c r="D23" s="24" t="s">
        <v>36</v>
      </c>
      <c r="E23" s="25" t="n">
        <f aca="false">COUNTIFS(Ideas!$B$5:$B$504,"&lt;&gt;",Ideas!$D$5:$D$504,"High",Ideas!$E$5:$E$504,"Low",Ideas!$C$5:$C$504,"&lt;&gt;Dropped",Ideas!$C$5:$C$504,"&lt;&gt;Promoted to Task")</f>
        <v>1</v>
      </c>
      <c r="G23" s="26" t="s">
        <v>14</v>
      </c>
      <c r="H23" s="27"/>
    </row>
    <row r="24" customFormat="false" ht="15" hidden="false" customHeight="false" outlineLevel="0" collapsed="false">
      <c r="D24" s="11" t="s">
        <v>37</v>
      </c>
      <c r="E24" s="12" t="n">
        <f aca="true">COUNTIFS(Ideas!$B$5:$B$504,"&lt;&gt;",Ideas!$G$5:$G$504,"&lt;&gt;",Ideas!$G$5:$G$504,"&lt;="&amp;TODAY(),Ideas!$C$5:$C$504,"&lt;&gt;Dropped",Ideas!$C$5:$C$504,"&lt;&gt;Promoted to Task")</f>
        <v>0</v>
      </c>
      <c r="G24" s="28" t="s">
        <v>38</v>
      </c>
      <c r="H24" s="29"/>
    </row>
    <row r="25" customFormat="false" ht="15" hidden="false" customHeight="false" outlineLevel="0" collapsed="false">
      <c r="G25" s="30" t="s">
        <v>17</v>
      </c>
      <c r="H25" s="31"/>
    </row>
    <row r="26" customFormat="false" ht="15" hidden="false" customHeight="false" outlineLevel="0" collapsed="false">
      <c r="G26" s="32" t="s">
        <v>22</v>
      </c>
      <c r="H26" s="33"/>
    </row>
    <row r="27" customFormat="false" ht="15" hidden="false" customHeight="false" outlineLevel="0" collapsed="false">
      <c r="A27" s="2" t="s">
        <v>39</v>
      </c>
      <c r="G27" s="34" t="s">
        <v>40</v>
      </c>
      <c r="H27" s="35"/>
    </row>
    <row r="28" customFormat="false" ht="15" hidden="false" customHeight="false" outlineLevel="0" collapsed="false">
      <c r="A28" s="2" t="s">
        <v>41</v>
      </c>
      <c r="G28" s="36" t="s">
        <v>42</v>
      </c>
      <c r="H28" s="37"/>
    </row>
    <row r="29" customFormat="false" ht="15" hidden="false" customHeight="false" outlineLevel="0" collapsed="false">
      <c r="G29" s="38" t="s">
        <v>43</v>
      </c>
      <c r="H29" s="39"/>
    </row>
    <row r="30" customFormat="false" ht="15" hidden="false" customHeight="false" outlineLevel="0" collapsed="false">
      <c r="G30" s="40" t="s">
        <v>44</v>
      </c>
      <c r="H30" s="41"/>
    </row>
    <row r="31" customFormat="false" ht="15" hidden="false" customHeight="false" outlineLevel="0" collapsed="false">
      <c r="G31" s="42" t="s">
        <v>45</v>
      </c>
      <c r="H31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4374B"/>
    <pageSetUpPr fitToPage="true"/>
  </sheetPr>
  <dimension ref="A1:N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34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4" min="14" style="0" width="36"/>
  </cols>
  <sheetData>
    <row r="1" customFormat="false" ht="25.5" hidden="false" customHeight="tru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30" hidden="false" customHeight="true" outlineLevel="0" collapsed="false">
      <c r="A4" s="6" t="s">
        <v>48</v>
      </c>
      <c r="B4" s="6" t="s">
        <v>49</v>
      </c>
      <c r="C4" s="6" t="s">
        <v>50</v>
      </c>
      <c r="D4" s="6" t="s">
        <v>51</v>
      </c>
      <c r="E4" s="6" t="s">
        <v>52</v>
      </c>
      <c r="F4" s="6" t="s">
        <v>53</v>
      </c>
      <c r="G4" s="6" t="s">
        <v>54</v>
      </c>
      <c r="H4" s="6" t="s">
        <v>55</v>
      </c>
      <c r="I4" s="6" t="s">
        <v>56</v>
      </c>
      <c r="J4" s="6" t="s">
        <v>57</v>
      </c>
      <c r="K4" s="6" t="s">
        <v>58</v>
      </c>
      <c r="L4" s="6" t="s">
        <v>59</v>
      </c>
      <c r="M4" s="6" t="s">
        <v>60</v>
      </c>
      <c r="N4" s="6" t="s">
        <v>61</v>
      </c>
    </row>
    <row r="5" customFormat="false" ht="18" hidden="false" customHeight="true" outlineLevel="0" collapsed="false">
      <c r="A5" s="44" t="n">
        <f aca="false">IF(B5="","",ROW()-4)</f>
        <v>1</v>
      </c>
      <c r="B5" s="45" t="s">
        <v>62</v>
      </c>
      <c r="C5" s="46" t="s">
        <v>14</v>
      </c>
      <c r="D5" s="46" t="s">
        <v>63</v>
      </c>
      <c r="E5" s="47" t="n">
        <v>46315</v>
      </c>
      <c r="F5" s="44" t="n">
        <f aca="true">IF(OR(B5="",E5="",C5="Done",C5="Cancelled"),"",E5-TODAY())</f>
        <v>2</v>
      </c>
      <c r="G5" s="48" t="str">
        <f aca="true">IF(OR(B5="",C5="Done",C5="Cancelled"),"",IF(AND(E5&lt;&gt;"",E5&lt;TODAY()),"OVERDUE",IF(AND(E5&lt;&gt;"",E5=TODAY()),"DUE TODAY",IF(AND(K5&lt;&gt;"",K5&lt;=TODAY()),"FOLLOW UP",IF(AND(E5&lt;&gt;"",E5&lt;=TODAY()+3),"DUE SOON",IF(E5="","NO DUE DATE",""))))))</f>
        <v>DUE SOON</v>
      </c>
      <c r="H5" s="45" t="s">
        <v>64</v>
      </c>
      <c r="I5" s="46" t="s">
        <v>65</v>
      </c>
      <c r="J5" s="45"/>
      <c r="K5" s="47"/>
      <c r="L5" s="47" t="n">
        <v>46308</v>
      </c>
      <c r="M5" s="47"/>
      <c r="N5" s="45" t="s">
        <v>66</v>
      </c>
    </row>
    <row r="6" customFormat="false" ht="18" hidden="false" customHeight="true" outlineLevel="0" collapsed="false">
      <c r="A6" s="44" t="n">
        <f aca="false">IF(B6="","",ROW()-4)</f>
        <v>2</v>
      </c>
      <c r="B6" s="45" t="s">
        <v>67</v>
      </c>
      <c r="C6" s="46" t="s">
        <v>12</v>
      </c>
      <c r="D6" s="46" t="s">
        <v>68</v>
      </c>
      <c r="E6" s="47" t="n">
        <v>46320</v>
      </c>
      <c r="F6" s="44" t="n">
        <f aca="true">IF(OR(B6="",E6="",C6="Done",C6="Cancelled"),"",E6-TODAY())</f>
        <v>7</v>
      </c>
      <c r="G6" s="48" t="str">
        <f aca="true">IF(OR(B6="",C6="Done",C6="Cancelled"),"",IF(AND(E6&lt;&gt;"",E6&lt;TODAY()),"OVERDUE",IF(AND(E6&lt;&gt;"",E6=TODAY()),"DUE TODAY",IF(AND(K6&lt;&gt;"",K6&lt;=TODAY()),"FOLLOW UP",IF(AND(E6&lt;&gt;"",E6&lt;=TODAY()+3),"DUE SOON",IF(E6="","NO DUE DATE",""))))))</f>
        <v/>
      </c>
      <c r="H6" s="45" t="s">
        <v>69</v>
      </c>
      <c r="I6" s="46" t="s">
        <v>70</v>
      </c>
      <c r="J6" s="45"/>
      <c r="K6" s="47"/>
      <c r="L6" s="47"/>
      <c r="M6" s="47"/>
      <c r="N6" s="45"/>
    </row>
    <row r="7" customFormat="false" ht="18" hidden="false" customHeight="true" outlineLevel="0" collapsed="false">
      <c r="A7" s="44" t="n">
        <f aca="false">IF(B7="","",ROW()-4)</f>
        <v>3</v>
      </c>
      <c r="B7" s="45" t="s">
        <v>71</v>
      </c>
      <c r="C7" s="46" t="s">
        <v>40</v>
      </c>
      <c r="D7" s="46" t="s">
        <v>72</v>
      </c>
      <c r="E7" s="47" t="n">
        <v>46325</v>
      </c>
      <c r="F7" s="44" t="n">
        <f aca="true">IF(OR(B7="",E7="",C7="Done",C7="Cancelled"),"",E7-TODAY())</f>
        <v>12</v>
      </c>
      <c r="G7" s="48" t="str">
        <f aca="true">IF(OR(B7="",C7="Done",C7="Cancelled"),"",IF(AND(E7&lt;&gt;"",E7&lt;TODAY()),"OVERDUE",IF(AND(E7&lt;&gt;"",E7=TODAY()),"DUE TODAY",IF(AND(K7&lt;&gt;"",K7&lt;=TODAY()),"FOLLOW UP",IF(AND(E7&lt;&gt;"",E7&lt;=TODAY()+3),"DUE SOON",IF(E7="","NO DUE DATE",""))))))</f>
        <v>FOLLOW UP</v>
      </c>
      <c r="H7" s="45" t="s">
        <v>73</v>
      </c>
      <c r="I7" s="46" t="s">
        <v>74</v>
      </c>
      <c r="J7" s="45" t="s">
        <v>75</v>
      </c>
      <c r="K7" s="47" t="n">
        <v>46312</v>
      </c>
      <c r="L7" s="47" t="n">
        <v>46303</v>
      </c>
      <c r="M7" s="47"/>
      <c r="N7" s="45"/>
    </row>
    <row r="8" customFormat="false" ht="18" hidden="false" customHeight="true" outlineLevel="0" collapsed="false">
      <c r="A8" s="44" t="n">
        <f aca="false">IF(B8="","",ROW()-4)</f>
        <v>4</v>
      </c>
      <c r="B8" s="45" t="s">
        <v>76</v>
      </c>
      <c r="C8" s="46" t="s">
        <v>17</v>
      </c>
      <c r="D8" s="46" t="s">
        <v>72</v>
      </c>
      <c r="E8" s="47" t="n">
        <v>46323</v>
      </c>
      <c r="F8" s="44" t="n">
        <f aca="true">IF(OR(B8="",E8="",C8="Done",C8="Cancelled"),"",E8-TODAY())</f>
        <v>10</v>
      </c>
      <c r="G8" s="48" t="str">
        <f aca="true">IF(OR(B8="",C8="Done",C8="Cancelled"),"",IF(AND(E8&lt;&gt;"",E8&lt;TODAY()),"OVERDUE",IF(AND(E8&lt;&gt;"",E8=TODAY()),"DUE TODAY",IF(AND(K8&lt;&gt;"",K8&lt;=TODAY()),"FOLLOW UP",IF(AND(E8&lt;&gt;"",E8&lt;=TODAY()+3),"DUE SOON",IF(E8="","NO DUE DATE",""))))))</f>
        <v/>
      </c>
      <c r="H8" s="45" t="s">
        <v>77</v>
      </c>
      <c r="I8" s="46" t="s">
        <v>65</v>
      </c>
      <c r="J8" s="45" t="s">
        <v>78</v>
      </c>
      <c r="K8" s="47" t="n">
        <v>46316</v>
      </c>
      <c r="L8" s="47" t="n">
        <v>46310</v>
      </c>
      <c r="M8" s="47"/>
      <c r="N8" s="45"/>
    </row>
    <row r="9" customFormat="false" ht="18" hidden="false" customHeight="true" outlineLevel="0" collapsed="false">
      <c r="A9" s="44" t="n">
        <f aca="false">IF(B9="","",ROW()-4)</f>
        <v>5</v>
      </c>
      <c r="B9" s="45" t="s">
        <v>79</v>
      </c>
      <c r="C9" s="46" t="s">
        <v>22</v>
      </c>
      <c r="D9" s="46" t="s">
        <v>80</v>
      </c>
      <c r="E9" s="47" t="n">
        <v>46334</v>
      </c>
      <c r="F9" s="44" t="n">
        <f aca="true">IF(OR(B9="",E9="",C9="Done",C9="Cancelled"),"",E9-TODAY())</f>
        <v>21</v>
      </c>
      <c r="G9" s="48" t="str">
        <f aca="true">IF(OR(B9="",C9="Done",C9="Cancelled"),"",IF(AND(E9&lt;&gt;"",E9&lt;TODAY()),"OVERDUE",IF(AND(E9&lt;&gt;"",E9=TODAY()),"DUE TODAY",IF(AND(K9&lt;&gt;"",K9&lt;=TODAY()),"FOLLOW UP",IF(AND(E9&lt;&gt;"",E9&lt;=TODAY()+3),"DUE SOON",IF(E9="","NO DUE DATE",""))))))</f>
        <v/>
      </c>
      <c r="H9" s="45" t="s">
        <v>81</v>
      </c>
      <c r="I9" s="46" t="s">
        <v>82</v>
      </c>
      <c r="J9" s="45"/>
      <c r="K9" s="47"/>
      <c r="L9" s="47"/>
      <c r="M9" s="47"/>
      <c r="N9" s="45" t="s">
        <v>83</v>
      </c>
    </row>
    <row r="10" customFormat="false" ht="18" hidden="false" customHeight="true" outlineLevel="0" collapsed="false">
      <c r="A10" s="44" t="n">
        <f aca="false">IF(B10="","",ROW()-4)</f>
        <v>6</v>
      </c>
      <c r="B10" s="45" t="s">
        <v>84</v>
      </c>
      <c r="C10" s="46" t="s">
        <v>12</v>
      </c>
      <c r="D10" s="46" t="s">
        <v>72</v>
      </c>
      <c r="E10" s="47"/>
      <c r="F10" s="44" t="str">
        <f aca="true">IF(OR(B10="",E10="",C10="Done",C10="Cancelled"),"",E10-TODAY())</f>
        <v/>
      </c>
      <c r="G10" s="48" t="str">
        <f aca="true">IF(OR(B10="",C10="Done",C10="Cancelled"),"",IF(AND(E10&lt;&gt;"",E10&lt;TODAY()),"OVERDUE",IF(AND(E10&lt;&gt;"",E10=TODAY()),"DUE TODAY",IF(AND(K10&lt;&gt;"",K10&lt;=TODAY()),"FOLLOW UP",IF(AND(E10&lt;&gt;"",E10&lt;=TODAY()+3),"DUE SOON",IF(E10="","NO DUE DATE",""))))))</f>
        <v>NO DUE DATE</v>
      </c>
      <c r="H10" s="45"/>
      <c r="I10" s="46" t="s">
        <v>70</v>
      </c>
      <c r="J10" s="45"/>
      <c r="K10" s="47"/>
      <c r="L10" s="47"/>
      <c r="M10" s="47"/>
      <c r="N10" s="45" t="s">
        <v>85</v>
      </c>
    </row>
    <row r="11" customFormat="false" ht="18" hidden="false" customHeight="true" outlineLevel="0" collapsed="false">
      <c r="A11" s="44" t="n">
        <f aca="false">IF(B11="","",ROW()-4)</f>
        <v>7</v>
      </c>
      <c r="B11" s="45" t="s">
        <v>86</v>
      </c>
      <c r="C11" s="46" t="s">
        <v>16</v>
      </c>
      <c r="D11" s="46" t="s">
        <v>68</v>
      </c>
      <c r="E11" s="47" t="n">
        <v>46311</v>
      </c>
      <c r="F11" s="44" t="str">
        <f aca="true">IF(OR(B11="",E11="",C11="Done",C11="Cancelled"),"",E11-TODAY())</f>
        <v/>
      </c>
      <c r="G11" s="48" t="str">
        <f aca="true">IF(OR(B11="",C11="Done",C11="Cancelled"),"",IF(AND(E11&lt;&gt;"",E11&lt;TODAY()),"OVERDUE",IF(AND(E11&lt;&gt;"",E11=TODAY()),"DUE TODAY",IF(AND(K11&lt;&gt;"",K11&lt;=TODAY()),"FOLLOW UP",IF(AND(E11&lt;&gt;"",E11&lt;=TODAY()+3),"DUE SOON",IF(E11="","NO DUE DATE",""))))))</f>
        <v/>
      </c>
      <c r="H11" s="45"/>
      <c r="I11" s="46" t="s">
        <v>70</v>
      </c>
      <c r="J11" s="45"/>
      <c r="K11" s="47"/>
      <c r="L11" s="47" t="n">
        <v>46307</v>
      </c>
      <c r="M11" s="47" t="n">
        <v>46311</v>
      </c>
      <c r="N11" s="45" t="s">
        <v>87</v>
      </c>
    </row>
    <row r="12" customFormat="false" ht="18" hidden="false" customHeight="true" outlineLevel="0" collapsed="false">
      <c r="A12" s="44" t="str">
        <f aca="false">IF(B12="","",ROW()-4)</f>
        <v/>
      </c>
      <c r="B12" s="45"/>
      <c r="C12" s="46"/>
      <c r="D12" s="46"/>
      <c r="E12" s="47"/>
      <c r="F12" s="44" t="str">
        <f aca="true">IF(OR(B12="",E12="",C12="Done",C12="Cancelled"),"",E12-TODAY())</f>
        <v/>
      </c>
      <c r="G12" s="48" t="str">
        <f aca="true">IF(OR(B12="",C12="Done",C12="Cancelled"),"",IF(AND(E12&lt;&gt;"",E12&lt;TODAY()),"OVERDUE",IF(AND(E12&lt;&gt;"",E12=TODAY()),"DUE TODAY",IF(AND(K12&lt;&gt;"",K12&lt;=TODAY()),"FOLLOW UP",IF(AND(E12&lt;&gt;"",E12&lt;=TODAY()+3),"DUE SOON",IF(E12="","NO DUE DATE",""))))))</f>
        <v/>
      </c>
      <c r="H12" s="45"/>
      <c r="I12" s="46"/>
      <c r="J12" s="45"/>
      <c r="K12" s="47"/>
      <c r="L12" s="47"/>
      <c r="M12" s="47"/>
      <c r="N12" s="45"/>
    </row>
    <row r="13" customFormat="false" ht="18" hidden="false" customHeight="true" outlineLevel="0" collapsed="false">
      <c r="A13" s="44" t="str">
        <f aca="false">IF(B13="","",ROW()-4)</f>
        <v/>
      </c>
      <c r="B13" s="45"/>
      <c r="C13" s="46"/>
      <c r="D13" s="46"/>
      <c r="E13" s="47"/>
      <c r="F13" s="44" t="str">
        <f aca="true">IF(OR(B13="",E13="",C13="Done",C13="Cancelled"),"",E13-TODAY())</f>
        <v/>
      </c>
      <c r="G13" s="48" t="str">
        <f aca="true">IF(OR(B13="",C13="Done",C13="Cancelled"),"",IF(AND(E13&lt;&gt;"",E13&lt;TODAY()),"OVERDUE",IF(AND(E13&lt;&gt;"",E13=TODAY()),"DUE TODAY",IF(AND(K13&lt;&gt;"",K13&lt;=TODAY()),"FOLLOW UP",IF(AND(E13&lt;&gt;"",E13&lt;=TODAY()+3),"DUE SOON",IF(E13="","NO DUE DATE",""))))))</f>
        <v/>
      </c>
      <c r="H13" s="45"/>
      <c r="I13" s="46"/>
      <c r="J13" s="45"/>
      <c r="K13" s="47"/>
      <c r="L13" s="47"/>
      <c r="M13" s="47"/>
      <c r="N13" s="45"/>
    </row>
    <row r="14" customFormat="false" ht="18" hidden="false" customHeight="true" outlineLevel="0" collapsed="false">
      <c r="A14" s="44" t="str">
        <f aca="false">IF(B14="","",ROW()-4)</f>
        <v/>
      </c>
      <c r="B14" s="45"/>
      <c r="C14" s="46"/>
      <c r="D14" s="46"/>
      <c r="E14" s="47"/>
      <c r="F14" s="44" t="str">
        <f aca="true">IF(OR(B14="",E14="",C14="Done",C14="Cancelled"),"",E14-TODAY())</f>
        <v/>
      </c>
      <c r="G14" s="48" t="str">
        <f aca="true">IF(OR(B14="",C14="Done",C14="Cancelled"),"",IF(AND(E14&lt;&gt;"",E14&lt;TODAY()),"OVERDUE",IF(AND(E14&lt;&gt;"",E14=TODAY()),"DUE TODAY",IF(AND(K14&lt;&gt;"",K14&lt;=TODAY()),"FOLLOW UP",IF(AND(E14&lt;&gt;"",E14&lt;=TODAY()+3),"DUE SOON",IF(E14="","NO DUE DATE",""))))))</f>
        <v/>
      </c>
      <c r="H14" s="45"/>
      <c r="I14" s="46"/>
      <c r="J14" s="45"/>
      <c r="K14" s="47"/>
      <c r="L14" s="47"/>
      <c r="M14" s="47"/>
      <c r="N14" s="45"/>
    </row>
    <row r="15" customFormat="false" ht="18" hidden="false" customHeight="true" outlineLevel="0" collapsed="false">
      <c r="A15" s="44" t="str">
        <f aca="false">IF(B15="","",ROW()-4)</f>
        <v/>
      </c>
      <c r="B15" s="45"/>
      <c r="C15" s="46"/>
      <c r="D15" s="46"/>
      <c r="E15" s="47"/>
      <c r="F15" s="44" t="str">
        <f aca="true">IF(OR(B15="",E15="",C15="Done",C15="Cancelled"),"",E15-TODAY())</f>
        <v/>
      </c>
      <c r="G15" s="48" t="str">
        <f aca="true">IF(OR(B15="",C15="Done",C15="Cancelled"),"",IF(AND(E15&lt;&gt;"",E15&lt;TODAY()),"OVERDUE",IF(AND(E15&lt;&gt;"",E15=TODAY()),"DUE TODAY",IF(AND(K15&lt;&gt;"",K15&lt;=TODAY()),"FOLLOW UP",IF(AND(E15&lt;&gt;"",E15&lt;=TODAY()+3),"DUE SOON",IF(E15="","NO DUE DATE",""))))))</f>
        <v/>
      </c>
      <c r="H15" s="45"/>
      <c r="I15" s="46"/>
      <c r="J15" s="45"/>
      <c r="K15" s="47"/>
      <c r="L15" s="47"/>
      <c r="M15" s="47"/>
      <c r="N15" s="45"/>
    </row>
    <row r="16" customFormat="false" ht="18" hidden="false" customHeight="true" outlineLevel="0" collapsed="false">
      <c r="A16" s="44" t="str">
        <f aca="false">IF(B16="","",ROW()-4)</f>
        <v/>
      </c>
      <c r="B16" s="45"/>
      <c r="C16" s="46"/>
      <c r="D16" s="46"/>
      <c r="E16" s="47"/>
      <c r="F16" s="44" t="str">
        <f aca="true">IF(OR(B16="",E16="",C16="Done",C16="Cancelled"),"",E16-TODAY())</f>
        <v/>
      </c>
      <c r="G16" s="48" t="str">
        <f aca="true">IF(OR(B16="",C16="Done",C16="Cancelled"),"",IF(AND(E16&lt;&gt;"",E16&lt;TODAY()),"OVERDUE",IF(AND(E16&lt;&gt;"",E16=TODAY()),"DUE TODAY",IF(AND(K16&lt;&gt;"",K16&lt;=TODAY()),"FOLLOW UP",IF(AND(E16&lt;&gt;"",E16&lt;=TODAY()+3),"DUE SOON",IF(E16="","NO DUE DATE",""))))))</f>
        <v/>
      </c>
      <c r="H16" s="45"/>
      <c r="I16" s="46"/>
      <c r="J16" s="45"/>
      <c r="K16" s="47"/>
      <c r="L16" s="47"/>
      <c r="M16" s="47"/>
      <c r="N16" s="45"/>
    </row>
    <row r="17" customFormat="false" ht="18" hidden="false" customHeight="true" outlineLevel="0" collapsed="false">
      <c r="A17" s="44" t="str">
        <f aca="false">IF(B17="","",ROW()-4)</f>
        <v/>
      </c>
      <c r="B17" s="45"/>
      <c r="C17" s="46"/>
      <c r="D17" s="46"/>
      <c r="E17" s="47"/>
      <c r="F17" s="44" t="str">
        <f aca="true">IF(OR(B17="",E17="",C17="Done",C17="Cancelled"),"",E17-TODAY())</f>
        <v/>
      </c>
      <c r="G17" s="48" t="str">
        <f aca="true">IF(OR(B17="",C17="Done",C17="Cancelled"),"",IF(AND(E17&lt;&gt;"",E17&lt;TODAY()),"OVERDUE",IF(AND(E17&lt;&gt;"",E17=TODAY()),"DUE TODAY",IF(AND(K17&lt;&gt;"",K17&lt;=TODAY()),"FOLLOW UP",IF(AND(E17&lt;&gt;"",E17&lt;=TODAY()+3),"DUE SOON",IF(E17="","NO DUE DATE",""))))))</f>
        <v/>
      </c>
      <c r="H17" s="45"/>
      <c r="I17" s="46"/>
      <c r="J17" s="45"/>
      <c r="K17" s="47"/>
      <c r="L17" s="47"/>
      <c r="M17" s="47"/>
      <c r="N17" s="45"/>
    </row>
    <row r="18" customFormat="false" ht="18" hidden="false" customHeight="true" outlineLevel="0" collapsed="false">
      <c r="A18" s="44" t="str">
        <f aca="false">IF(B18="","",ROW()-4)</f>
        <v/>
      </c>
      <c r="B18" s="45"/>
      <c r="C18" s="46"/>
      <c r="D18" s="46"/>
      <c r="E18" s="47"/>
      <c r="F18" s="44" t="str">
        <f aca="true">IF(OR(B18="",E18="",C18="Done",C18="Cancelled"),"",E18-TODAY())</f>
        <v/>
      </c>
      <c r="G18" s="48" t="str">
        <f aca="true">IF(OR(B18="",C18="Done",C18="Cancelled"),"",IF(AND(E18&lt;&gt;"",E18&lt;TODAY()),"OVERDUE",IF(AND(E18&lt;&gt;"",E18=TODAY()),"DUE TODAY",IF(AND(K18&lt;&gt;"",K18&lt;=TODAY()),"FOLLOW UP",IF(AND(E18&lt;&gt;"",E18&lt;=TODAY()+3),"DUE SOON",IF(E18="","NO DUE DATE",""))))))</f>
        <v/>
      </c>
      <c r="H18" s="45"/>
      <c r="I18" s="46"/>
      <c r="J18" s="45"/>
      <c r="K18" s="47"/>
      <c r="L18" s="47"/>
      <c r="M18" s="47"/>
      <c r="N18" s="45"/>
    </row>
    <row r="19" customFormat="false" ht="18" hidden="false" customHeight="true" outlineLevel="0" collapsed="false">
      <c r="A19" s="44" t="str">
        <f aca="false">IF(B19="","",ROW()-4)</f>
        <v/>
      </c>
      <c r="B19" s="45"/>
      <c r="C19" s="46"/>
      <c r="D19" s="46"/>
      <c r="E19" s="47"/>
      <c r="F19" s="44" t="str">
        <f aca="true">IF(OR(B19="",E19="",C19="Done",C19="Cancelled"),"",E19-TODAY())</f>
        <v/>
      </c>
      <c r="G19" s="48" t="str">
        <f aca="true">IF(OR(B19="",C19="Done",C19="Cancelled"),"",IF(AND(E19&lt;&gt;"",E19&lt;TODAY()),"OVERDUE",IF(AND(E19&lt;&gt;"",E19=TODAY()),"DUE TODAY",IF(AND(K19&lt;&gt;"",K19&lt;=TODAY()),"FOLLOW UP",IF(AND(E19&lt;&gt;"",E19&lt;=TODAY()+3),"DUE SOON",IF(E19="","NO DUE DATE",""))))))</f>
        <v/>
      </c>
      <c r="H19" s="45"/>
      <c r="I19" s="46"/>
      <c r="J19" s="45"/>
      <c r="K19" s="47"/>
      <c r="L19" s="47"/>
      <c r="M19" s="47"/>
      <c r="N19" s="45"/>
    </row>
    <row r="20" customFormat="false" ht="18" hidden="false" customHeight="true" outlineLevel="0" collapsed="false">
      <c r="A20" s="44" t="str">
        <f aca="false">IF(B20="","",ROW()-4)</f>
        <v/>
      </c>
      <c r="B20" s="45"/>
      <c r="C20" s="46"/>
      <c r="D20" s="46"/>
      <c r="E20" s="47"/>
      <c r="F20" s="44" t="str">
        <f aca="true">IF(OR(B20="",E20="",C20="Done",C20="Cancelled"),"",E20-TODAY())</f>
        <v/>
      </c>
      <c r="G20" s="48" t="str">
        <f aca="true">IF(OR(B20="",C20="Done",C20="Cancelled"),"",IF(AND(E20&lt;&gt;"",E20&lt;TODAY()),"OVERDUE",IF(AND(E20&lt;&gt;"",E20=TODAY()),"DUE TODAY",IF(AND(K20&lt;&gt;"",K20&lt;=TODAY()),"FOLLOW UP",IF(AND(E20&lt;&gt;"",E20&lt;=TODAY()+3),"DUE SOON",IF(E20="","NO DUE DATE",""))))))</f>
        <v/>
      </c>
      <c r="H20" s="45"/>
      <c r="I20" s="46"/>
      <c r="J20" s="45"/>
      <c r="K20" s="47"/>
      <c r="L20" s="47"/>
      <c r="M20" s="47"/>
      <c r="N20" s="45"/>
    </row>
    <row r="21" customFormat="false" ht="18" hidden="false" customHeight="true" outlineLevel="0" collapsed="false">
      <c r="A21" s="44" t="str">
        <f aca="false">IF(B21="","",ROW()-4)</f>
        <v/>
      </c>
      <c r="B21" s="45"/>
      <c r="C21" s="46"/>
      <c r="D21" s="46"/>
      <c r="E21" s="47"/>
      <c r="F21" s="44" t="str">
        <f aca="true">IF(OR(B21="",E21="",C21="Done",C21="Cancelled"),"",E21-TODAY())</f>
        <v/>
      </c>
      <c r="G21" s="48" t="str">
        <f aca="true">IF(OR(B21="",C21="Done",C21="Cancelled"),"",IF(AND(E21&lt;&gt;"",E21&lt;TODAY()),"OVERDUE",IF(AND(E21&lt;&gt;"",E21=TODAY()),"DUE TODAY",IF(AND(K21&lt;&gt;"",K21&lt;=TODAY()),"FOLLOW UP",IF(AND(E21&lt;&gt;"",E21&lt;=TODAY()+3),"DUE SOON",IF(E21="","NO DUE DATE",""))))))</f>
        <v/>
      </c>
      <c r="H21" s="45"/>
      <c r="I21" s="46"/>
      <c r="J21" s="45"/>
      <c r="K21" s="47"/>
      <c r="L21" s="47"/>
      <c r="M21" s="47"/>
      <c r="N21" s="45"/>
    </row>
    <row r="22" customFormat="false" ht="18" hidden="false" customHeight="true" outlineLevel="0" collapsed="false">
      <c r="A22" s="44" t="str">
        <f aca="false">IF(B22="","",ROW()-4)</f>
        <v/>
      </c>
      <c r="B22" s="45"/>
      <c r="C22" s="46"/>
      <c r="D22" s="46"/>
      <c r="E22" s="47"/>
      <c r="F22" s="44" t="str">
        <f aca="true">IF(OR(B22="",E22="",C22="Done",C22="Cancelled"),"",E22-TODAY())</f>
        <v/>
      </c>
      <c r="G22" s="48" t="str">
        <f aca="true">IF(OR(B22="",C22="Done",C22="Cancelled"),"",IF(AND(E22&lt;&gt;"",E22&lt;TODAY()),"OVERDUE",IF(AND(E22&lt;&gt;"",E22=TODAY()),"DUE TODAY",IF(AND(K22&lt;&gt;"",K22&lt;=TODAY()),"FOLLOW UP",IF(AND(E22&lt;&gt;"",E22&lt;=TODAY()+3),"DUE SOON",IF(E22="","NO DUE DATE",""))))))</f>
        <v/>
      </c>
      <c r="H22" s="45"/>
      <c r="I22" s="46"/>
      <c r="J22" s="45"/>
      <c r="K22" s="47"/>
      <c r="L22" s="47"/>
      <c r="M22" s="47"/>
      <c r="N22" s="45"/>
    </row>
    <row r="23" customFormat="false" ht="18" hidden="false" customHeight="true" outlineLevel="0" collapsed="false">
      <c r="A23" s="44" t="str">
        <f aca="false">IF(B23="","",ROW()-4)</f>
        <v/>
      </c>
      <c r="B23" s="45"/>
      <c r="C23" s="46"/>
      <c r="D23" s="46"/>
      <c r="E23" s="47"/>
      <c r="F23" s="44" t="str">
        <f aca="true">IF(OR(B23="",E23="",C23="Done",C23="Cancelled"),"",E23-TODAY())</f>
        <v/>
      </c>
      <c r="G23" s="48" t="str">
        <f aca="true">IF(OR(B23="",C23="Done",C23="Cancelled"),"",IF(AND(E23&lt;&gt;"",E23&lt;TODAY()),"OVERDUE",IF(AND(E23&lt;&gt;"",E23=TODAY()),"DUE TODAY",IF(AND(K23&lt;&gt;"",K23&lt;=TODAY()),"FOLLOW UP",IF(AND(E23&lt;&gt;"",E23&lt;=TODAY()+3),"DUE SOON",IF(E23="","NO DUE DATE",""))))))</f>
        <v/>
      </c>
      <c r="H23" s="45"/>
      <c r="I23" s="46"/>
      <c r="J23" s="45"/>
      <c r="K23" s="47"/>
      <c r="L23" s="47"/>
      <c r="M23" s="47"/>
      <c r="N23" s="45"/>
    </row>
    <row r="24" customFormat="false" ht="18" hidden="false" customHeight="true" outlineLevel="0" collapsed="false">
      <c r="A24" s="44" t="str">
        <f aca="false">IF(B24="","",ROW()-4)</f>
        <v/>
      </c>
      <c r="B24" s="45"/>
      <c r="C24" s="46"/>
      <c r="D24" s="46"/>
      <c r="E24" s="47"/>
      <c r="F24" s="44" t="str">
        <f aca="true">IF(OR(B24="",E24="",C24="Done",C24="Cancelled"),"",E24-TODAY())</f>
        <v/>
      </c>
      <c r="G24" s="48" t="str">
        <f aca="true">IF(OR(B24="",C24="Done",C24="Cancelled"),"",IF(AND(E24&lt;&gt;"",E24&lt;TODAY()),"OVERDUE",IF(AND(E24&lt;&gt;"",E24=TODAY()),"DUE TODAY",IF(AND(K24&lt;&gt;"",K24&lt;=TODAY()),"FOLLOW UP",IF(AND(E24&lt;&gt;"",E24&lt;=TODAY()+3),"DUE SOON",IF(E24="","NO DUE DATE",""))))))</f>
        <v/>
      </c>
      <c r="H24" s="45"/>
      <c r="I24" s="46"/>
      <c r="J24" s="45"/>
      <c r="K24" s="47"/>
      <c r="L24" s="47"/>
      <c r="M24" s="47"/>
      <c r="N24" s="45"/>
    </row>
    <row r="25" customFormat="false" ht="18" hidden="false" customHeight="true" outlineLevel="0" collapsed="false">
      <c r="A25" s="44" t="str">
        <f aca="false">IF(B25="","",ROW()-4)</f>
        <v/>
      </c>
      <c r="B25" s="45"/>
      <c r="C25" s="46"/>
      <c r="D25" s="46"/>
      <c r="E25" s="47"/>
      <c r="F25" s="44" t="str">
        <f aca="true">IF(OR(B25="",E25="",C25="Done",C25="Cancelled"),"",E25-TODAY())</f>
        <v/>
      </c>
      <c r="G25" s="48" t="str">
        <f aca="true">IF(OR(B25="",C25="Done",C25="Cancelled"),"",IF(AND(E25&lt;&gt;"",E25&lt;TODAY()),"OVERDUE",IF(AND(E25&lt;&gt;"",E25=TODAY()),"DUE TODAY",IF(AND(K25&lt;&gt;"",K25&lt;=TODAY()),"FOLLOW UP",IF(AND(E25&lt;&gt;"",E25&lt;=TODAY()+3),"DUE SOON",IF(E25="","NO DUE DATE",""))))))</f>
        <v/>
      </c>
      <c r="H25" s="45"/>
      <c r="I25" s="46"/>
      <c r="J25" s="45"/>
      <c r="K25" s="47"/>
      <c r="L25" s="47"/>
      <c r="M25" s="47"/>
      <c r="N25" s="45"/>
    </row>
    <row r="26" customFormat="false" ht="18" hidden="false" customHeight="true" outlineLevel="0" collapsed="false">
      <c r="A26" s="44" t="str">
        <f aca="false">IF(B26="","",ROW()-4)</f>
        <v/>
      </c>
      <c r="B26" s="45"/>
      <c r="C26" s="46"/>
      <c r="D26" s="46"/>
      <c r="E26" s="47"/>
      <c r="F26" s="44" t="str">
        <f aca="true">IF(OR(B26="",E26="",C26="Done",C26="Cancelled"),"",E26-TODAY())</f>
        <v/>
      </c>
      <c r="G26" s="48" t="str">
        <f aca="true">IF(OR(B26="",C26="Done",C26="Cancelled"),"",IF(AND(E26&lt;&gt;"",E26&lt;TODAY()),"OVERDUE",IF(AND(E26&lt;&gt;"",E26=TODAY()),"DUE TODAY",IF(AND(K26&lt;&gt;"",K26&lt;=TODAY()),"FOLLOW UP",IF(AND(E26&lt;&gt;"",E26&lt;=TODAY()+3),"DUE SOON",IF(E26="","NO DUE DATE",""))))))</f>
        <v/>
      </c>
      <c r="H26" s="45"/>
      <c r="I26" s="46"/>
      <c r="J26" s="45"/>
      <c r="K26" s="47"/>
      <c r="L26" s="47"/>
      <c r="M26" s="47"/>
      <c r="N26" s="45"/>
    </row>
    <row r="27" customFormat="false" ht="18" hidden="false" customHeight="true" outlineLevel="0" collapsed="false">
      <c r="A27" s="44" t="str">
        <f aca="false">IF(B27="","",ROW()-4)</f>
        <v/>
      </c>
      <c r="B27" s="45"/>
      <c r="C27" s="46"/>
      <c r="D27" s="46"/>
      <c r="E27" s="47"/>
      <c r="F27" s="44" t="str">
        <f aca="true">IF(OR(B27="",E27="",C27="Done",C27="Cancelled"),"",E27-TODAY())</f>
        <v/>
      </c>
      <c r="G27" s="48" t="str">
        <f aca="true">IF(OR(B27="",C27="Done",C27="Cancelled"),"",IF(AND(E27&lt;&gt;"",E27&lt;TODAY()),"OVERDUE",IF(AND(E27&lt;&gt;"",E27=TODAY()),"DUE TODAY",IF(AND(K27&lt;&gt;"",K27&lt;=TODAY()),"FOLLOW UP",IF(AND(E27&lt;&gt;"",E27&lt;=TODAY()+3),"DUE SOON",IF(E27="","NO DUE DATE",""))))))</f>
        <v/>
      </c>
      <c r="H27" s="45"/>
      <c r="I27" s="46"/>
      <c r="J27" s="45"/>
      <c r="K27" s="47"/>
      <c r="L27" s="47"/>
      <c r="M27" s="47"/>
      <c r="N27" s="45"/>
    </row>
    <row r="28" customFormat="false" ht="18" hidden="false" customHeight="true" outlineLevel="0" collapsed="false">
      <c r="A28" s="44" t="str">
        <f aca="false">IF(B28="","",ROW()-4)</f>
        <v/>
      </c>
      <c r="B28" s="45"/>
      <c r="C28" s="46"/>
      <c r="D28" s="46"/>
      <c r="E28" s="47"/>
      <c r="F28" s="44" t="str">
        <f aca="true">IF(OR(B28="",E28="",C28="Done",C28="Cancelled"),"",E28-TODAY())</f>
        <v/>
      </c>
      <c r="G28" s="48" t="str">
        <f aca="true">IF(OR(B28="",C28="Done",C28="Cancelled"),"",IF(AND(E28&lt;&gt;"",E28&lt;TODAY()),"OVERDUE",IF(AND(E28&lt;&gt;"",E28=TODAY()),"DUE TODAY",IF(AND(K28&lt;&gt;"",K28&lt;=TODAY()),"FOLLOW UP",IF(AND(E28&lt;&gt;"",E28&lt;=TODAY()+3),"DUE SOON",IF(E28="","NO DUE DATE",""))))))</f>
        <v/>
      </c>
      <c r="H28" s="45"/>
      <c r="I28" s="46"/>
      <c r="J28" s="45"/>
      <c r="K28" s="47"/>
      <c r="L28" s="47"/>
      <c r="M28" s="47"/>
      <c r="N28" s="45"/>
    </row>
    <row r="29" customFormat="false" ht="18" hidden="false" customHeight="true" outlineLevel="0" collapsed="false">
      <c r="A29" s="44" t="str">
        <f aca="false">IF(B29="","",ROW()-4)</f>
        <v/>
      </c>
      <c r="B29" s="45"/>
      <c r="C29" s="46"/>
      <c r="D29" s="46"/>
      <c r="E29" s="47"/>
      <c r="F29" s="44" t="str">
        <f aca="true">IF(OR(B29="",E29="",C29="Done",C29="Cancelled"),"",E29-TODAY())</f>
        <v/>
      </c>
      <c r="G29" s="48" t="str">
        <f aca="true">IF(OR(B29="",C29="Done",C29="Cancelled"),"",IF(AND(E29&lt;&gt;"",E29&lt;TODAY()),"OVERDUE",IF(AND(E29&lt;&gt;"",E29=TODAY()),"DUE TODAY",IF(AND(K29&lt;&gt;"",K29&lt;=TODAY()),"FOLLOW UP",IF(AND(E29&lt;&gt;"",E29&lt;=TODAY()+3),"DUE SOON",IF(E29="","NO DUE DATE",""))))))</f>
        <v/>
      </c>
      <c r="H29" s="45"/>
      <c r="I29" s="46"/>
      <c r="J29" s="45"/>
      <c r="K29" s="47"/>
      <c r="L29" s="47"/>
      <c r="M29" s="47"/>
      <c r="N29" s="45"/>
    </row>
    <row r="30" customFormat="false" ht="18" hidden="false" customHeight="true" outlineLevel="0" collapsed="false">
      <c r="A30" s="44" t="str">
        <f aca="false">IF(B30="","",ROW()-4)</f>
        <v/>
      </c>
      <c r="B30" s="45"/>
      <c r="C30" s="46"/>
      <c r="D30" s="46"/>
      <c r="E30" s="47"/>
      <c r="F30" s="44" t="str">
        <f aca="true">IF(OR(B30="",E30="",C30="Done",C30="Cancelled"),"",E30-TODAY())</f>
        <v/>
      </c>
      <c r="G30" s="48" t="str">
        <f aca="true">IF(OR(B30="",C30="Done",C30="Cancelled"),"",IF(AND(E30&lt;&gt;"",E30&lt;TODAY()),"OVERDUE",IF(AND(E30&lt;&gt;"",E30=TODAY()),"DUE TODAY",IF(AND(K30&lt;&gt;"",K30&lt;=TODAY()),"FOLLOW UP",IF(AND(E30&lt;&gt;"",E30&lt;=TODAY()+3),"DUE SOON",IF(E30="","NO DUE DATE",""))))))</f>
        <v/>
      </c>
      <c r="H30" s="45"/>
      <c r="I30" s="46"/>
      <c r="J30" s="45"/>
      <c r="K30" s="47"/>
      <c r="L30" s="47"/>
      <c r="M30" s="47"/>
      <c r="N30" s="45"/>
    </row>
    <row r="31" customFormat="false" ht="18" hidden="false" customHeight="true" outlineLevel="0" collapsed="false">
      <c r="A31" s="44" t="str">
        <f aca="false">IF(B31="","",ROW()-4)</f>
        <v/>
      </c>
      <c r="B31" s="45"/>
      <c r="C31" s="46"/>
      <c r="D31" s="46"/>
      <c r="E31" s="47"/>
      <c r="F31" s="44" t="str">
        <f aca="true">IF(OR(B31="",E31="",C31="Done",C31="Cancelled"),"",E31-TODAY())</f>
        <v/>
      </c>
      <c r="G31" s="48" t="str">
        <f aca="true">IF(OR(B31="",C31="Done",C31="Cancelled"),"",IF(AND(E31&lt;&gt;"",E31&lt;TODAY()),"OVERDUE",IF(AND(E31&lt;&gt;"",E31=TODAY()),"DUE TODAY",IF(AND(K31&lt;&gt;"",K31&lt;=TODAY()),"FOLLOW UP",IF(AND(E31&lt;&gt;"",E31&lt;=TODAY()+3),"DUE SOON",IF(E31="","NO DUE DATE",""))))))</f>
        <v/>
      </c>
      <c r="H31" s="45"/>
      <c r="I31" s="46"/>
      <c r="J31" s="45"/>
      <c r="K31" s="47"/>
      <c r="L31" s="47"/>
      <c r="M31" s="47"/>
      <c r="N31" s="45"/>
    </row>
    <row r="32" customFormat="false" ht="18" hidden="false" customHeight="true" outlineLevel="0" collapsed="false">
      <c r="A32" s="44" t="str">
        <f aca="false">IF(B32="","",ROW()-4)</f>
        <v/>
      </c>
      <c r="B32" s="45"/>
      <c r="C32" s="46"/>
      <c r="D32" s="46"/>
      <c r="E32" s="47"/>
      <c r="F32" s="44" t="str">
        <f aca="true">IF(OR(B32="",E32="",C32="Done",C32="Cancelled"),"",E32-TODAY())</f>
        <v/>
      </c>
      <c r="G32" s="48" t="str">
        <f aca="true">IF(OR(B32="",C32="Done",C32="Cancelled"),"",IF(AND(E32&lt;&gt;"",E32&lt;TODAY()),"OVERDUE",IF(AND(E32&lt;&gt;"",E32=TODAY()),"DUE TODAY",IF(AND(K32&lt;&gt;"",K32&lt;=TODAY()),"FOLLOW UP",IF(AND(E32&lt;&gt;"",E32&lt;=TODAY()+3),"DUE SOON",IF(E32="","NO DUE DATE",""))))))</f>
        <v/>
      </c>
      <c r="H32" s="45"/>
      <c r="I32" s="46"/>
      <c r="J32" s="45"/>
      <c r="K32" s="47"/>
      <c r="L32" s="47"/>
      <c r="M32" s="47"/>
      <c r="N32" s="45"/>
    </row>
    <row r="33" customFormat="false" ht="18" hidden="false" customHeight="true" outlineLevel="0" collapsed="false">
      <c r="A33" s="44" t="str">
        <f aca="false">IF(B33="","",ROW()-4)</f>
        <v/>
      </c>
      <c r="B33" s="45"/>
      <c r="C33" s="46"/>
      <c r="D33" s="46"/>
      <c r="E33" s="47"/>
      <c r="F33" s="44" t="str">
        <f aca="true">IF(OR(B33="",E33="",C33="Done",C33="Cancelled"),"",E33-TODAY())</f>
        <v/>
      </c>
      <c r="G33" s="48" t="str">
        <f aca="true">IF(OR(B33="",C33="Done",C33="Cancelled"),"",IF(AND(E33&lt;&gt;"",E33&lt;TODAY()),"OVERDUE",IF(AND(E33&lt;&gt;"",E33=TODAY()),"DUE TODAY",IF(AND(K33&lt;&gt;"",K33&lt;=TODAY()),"FOLLOW UP",IF(AND(E33&lt;&gt;"",E33&lt;=TODAY()+3),"DUE SOON",IF(E33="","NO DUE DATE",""))))))</f>
        <v/>
      </c>
      <c r="H33" s="45"/>
      <c r="I33" s="46"/>
      <c r="J33" s="45"/>
      <c r="K33" s="47"/>
      <c r="L33" s="47"/>
      <c r="M33" s="47"/>
      <c r="N33" s="45"/>
    </row>
    <row r="34" customFormat="false" ht="18" hidden="false" customHeight="true" outlineLevel="0" collapsed="false">
      <c r="A34" s="44" t="str">
        <f aca="false">IF(B34="","",ROW()-4)</f>
        <v/>
      </c>
      <c r="B34" s="45"/>
      <c r="C34" s="46"/>
      <c r="D34" s="46"/>
      <c r="E34" s="47"/>
      <c r="F34" s="44" t="str">
        <f aca="true">IF(OR(B34="",E34="",C34="Done",C34="Cancelled"),"",E34-TODAY())</f>
        <v/>
      </c>
      <c r="G34" s="48" t="str">
        <f aca="true">IF(OR(B34="",C34="Done",C34="Cancelled"),"",IF(AND(E34&lt;&gt;"",E34&lt;TODAY()),"OVERDUE",IF(AND(E34&lt;&gt;"",E34=TODAY()),"DUE TODAY",IF(AND(K34&lt;&gt;"",K34&lt;=TODAY()),"FOLLOW UP",IF(AND(E34&lt;&gt;"",E34&lt;=TODAY()+3),"DUE SOON",IF(E34="","NO DUE DATE",""))))))</f>
        <v/>
      </c>
      <c r="H34" s="45"/>
      <c r="I34" s="46"/>
      <c r="J34" s="45"/>
      <c r="K34" s="47"/>
      <c r="L34" s="47"/>
      <c r="M34" s="47"/>
      <c r="N34" s="45"/>
    </row>
    <row r="35" customFormat="false" ht="18" hidden="false" customHeight="true" outlineLevel="0" collapsed="false">
      <c r="A35" s="44" t="str">
        <f aca="false">IF(B35="","",ROW()-4)</f>
        <v/>
      </c>
      <c r="B35" s="45"/>
      <c r="C35" s="46"/>
      <c r="D35" s="46"/>
      <c r="E35" s="47"/>
      <c r="F35" s="44" t="str">
        <f aca="true">IF(OR(B35="",E35="",C35="Done",C35="Cancelled"),"",E35-TODAY())</f>
        <v/>
      </c>
      <c r="G35" s="48" t="str">
        <f aca="true">IF(OR(B35="",C35="Done",C35="Cancelled"),"",IF(AND(E35&lt;&gt;"",E35&lt;TODAY()),"OVERDUE",IF(AND(E35&lt;&gt;"",E35=TODAY()),"DUE TODAY",IF(AND(K35&lt;&gt;"",K35&lt;=TODAY()),"FOLLOW UP",IF(AND(E35&lt;&gt;"",E35&lt;=TODAY()+3),"DUE SOON",IF(E35="","NO DUE DATE",""))))))</f>
        <v/>
      </c>
      <c r="H35" s="45"/>
      <c r="I35" s="46"/>
      <c r="J35" s="45"/>
      <c r="K35" s="47"/>
      <c r="L35" s="47"/>
      <c r="M35" s="47"/>
      <c r="N35" s="45"/>
    </row>
    <row r="36" customFormat="false" ht="18" hidden="false" customHeight="true" outlineLevel="0" collapsed="false">
      <c r="A36" s="44" t="str">
        <f aca="false">IF(B36="","",ROW()-4)</f>
        <v/>
      </c>
      <c r="B36" s="45"/>
      <c r="C36" s="46"/>
      <c r="D36" s="46"/>
      <c r="E36" s="47"/>
      <c r="F36" s="44" t="str">
        <f aca="true">IF(OR(B36="",E36="",C36="Done",C36="Cancelled"),"",E36-TODAY())</f>
        <v/>
      </c>
      <c r="G36" s="48" t="str">
        <f aca="true">IF(OR(B36="",C36="Done",C36="Cancelled"),"",IF(AND(E36&lt;&gt;"",E36&lt;TODAY()),"OVERDUE",IF(AND(E36&lt;&gt;"",E36=TODAY()),"DUE TODAY",IF(AND(K36&lt;&gt;"",K36&lt;=TODAY()),"FOLLOW UP",IF(AND(E36&lt;&gt;"",E36&lt;=TODAY()+3),"DUE SOON",IF(E36="","NO DUE DATE",""))))))</f>
        <v/>
      </c>
      <c r="H36" s="45"/>
      <c r="I36" s="46"/>
      <c r="J36" s="45"/>
      <c r="K36" s="47"/>
      <c r="L36" s="47"/>
      <c r="M36" s="47"/>
      <c r="N36" s="45"/>
    </row>
    <row r="37" customFormat="false" ht="18" hidden="false" customHeight="true" outlineLevel="0" collapsed="false">
      <c r="A37" s="44" t="str">
        <f aca="false">IF(B37="","",ROW()-4)</f>
        <v/>
      </c>
      <c r="B37" s="45"/>
      <c r="C37" s="46"/>
      <c r="D37" s="46"/>
      <c r="E37" s="47"/>
      <c r="F37" s="44" t="str">
        <f aca="true">IF(OR(B37="",E37="",C37="Done",C37="Cancelled"),"",E37-TODAY())</f>
        <v/>
      </c>
      <c r="G37" s="48" t="str">
        <f aca="true">IF(OR(B37="",C37="Done",C37="Cancelled"),"",IF(AND(E37&lt;&gt;"",E37&lt;TODAY()),"OVERDUE",IF(AND(E37&lt;&gt;"",E37=TODAY()),"DUE TODAY",IF(AND(K37&lt;&gt;"",K37&lt;=TODAY()),"FOLLOW UP",IF(AND(E37&lt;&gt;"",E37&lt;=TODAY()+3),"DUE SOON",IF(E37="","NO DUE DATE",""))))))</f>
        <v/>
      </c>
      <c r="H37" s="45"/>
      <c r="I37" s="46"/>
      <c r="J37" s="45"/>
      <c r="K37" s="47"/>
      <c r="L37" s="47"/>
      <c r="M37" s="47"/>
      <c r="N37" s="45"/>
    </row>
    <row r="38" customFormat="false" ht="18" hidden="false" customHeight="true" outlineLevel="0" collapsed="false">
      <c r="A38" s="44" t="str">
        <f aca="false">IF(B38="","",ROW()-4)</f>
        <v/>
      </c>
      <c r="B38" s="45"/>
      <c r="C38" s="46"/>
      <c r="D38" s="46"/>
      <c r="E38" s="47"/>
      <c r="F38" s="44" t="str">
        <f aca="true">IF(OR(B38="",E38="",C38="Done",C38="Cancelled"),"",E38-TODAY())</f>
        <v/>
      </c>
      <c r="G38" s="48" t="str">
        <f aca="true">IF(OR(B38="",C38="Done",C38="Cancelled"),"",IF(AND(E38&lt;&gt;"",E38&lt;TODAY()),"OVERDUE",IF(AND(E38&lt;&gt;"",E38=TODAY()),"DUE TODAY",IF(AND(K38&lt;&gt;"",K38&lt;=TODAY()),"FOLLOW UP",IF(AND(E38&lt;&gt;"",E38&lt;=TODAY()+3),"DUE SOON",IF(E38="","NO DUE DATE",""))))))</f>
        <v/>
      </c>
      <c r="H38" s="45"/>
      <c r="I38" s="46"/>
      <c r="J38" s="45"/>
      <c r="K38" s="47"/>
      <c r="L38" s="47"/>
      <c r="M38" s="47"/>
      <c r="N38" s="45"/>
    </row>
    <row r="39" customFormat="false" ht="18" hidden="false" customHeight="true" outlineLevel="0" collapsed="false">
      <c r="A39" s="44" t="str">
        <f aca="false">IF(B39="","",ROW()-4)</f>
        <v/>
      </c>
      <c r="B39" s="45"/>
      <c r="C39" s="46"/>
      <c r="D39" s="46"/>
      <c r="E39" s="47"/>
      <c r="F39" s="44" t="str">
        <f aca="true">IF(OR(B39="",E39="",C39="Done",C39="Cancelled"),"",E39-TODAY())</f>
        <v/>
      </c>
      <c r="G39" s="48" t="str">
        <f aca="true">IF(OR(B39="",C39="Done",C39="Cancelled"),"",IF(AND(E39&lt;&gt;"",E39&lt;TODAY()),"OVERDUE",IF(AND(E39&lt;&gt;"",E39=TODAY()),"DUE TODAY",IF(AND(K39&lt;&gt;"",K39&lt;=TODAY()),"FOLLOW UP",IF(AND(E39&lt;&gt;"",E39&lt;=TODAY()+3),"DUE SOON",IF(E39="","NO DUE DATE",""))))))</f>
        <v/>
      </c>
      <c r="H39" s="45"/>
      <c r="I39" s="46"/>
      <c r="J39" s="45"/>
      <c r="K39" s="47"/>
      <c r="L39" s="47"/>
      <c r="M39" s="47"/>
      <c r="N39" s="45"/>
    </row>
    <row r="40" customFormat="false" ht="18" hidden="false" customHeight="true" outlineLevel="0" collapsed="false">
      <c r="A40" s="44" t="str">
        <f aca="false">IF(B40="","",ROW()-4)</f>
        <v/>
      </c>
      <c r="B40" s="45"/>
      <c r="C40" s="46"/>
      <c r="D40" s="46"/>
      <c r="E40" s="47"/>
      <c r="F40" s="44" t="str">
        <f aca="true">IF(OR(B40="",E40="",C40="Done",C40="Cancelled"),"",E40-TODAY())</f>
        <v/>
      </c>
      <c r="G40" s="48" t="str">
        <f aca="true">IF(OR(B40="",C40="Done",C40="Cancelled"),"",IF(AND(E40&lt;&gt;"",E40&lt;TODAY()),"OVERDUE",IF(AND(E40&lt;&gt;"",E40=TODAY()),"DUE TODAY",IF(AND(K40&lt;&gt;"",K40&lt;=TODAY()),"FOLLOW UP",IF(AND(E40&lt;&gt;"",E40&lt;=TODAY()+3),"DUE SOON",IF(E40="","NO DUE DATE",""))))))</f>
        <v/>
      </c>
      <c r="H40" s="45"/>
      <c r="I40" s="46"/>
      <c r="J40" s="45"/>
      <c r="K40" s="47"/>
      <c r="L40" s="47"/>
      <c r="M40" s="47"/>
      <c r="N40" s="45"/>
    </row>
    <row r="41" customFormat="false" ht="18" hidden="false" customHeight="true" outlineLevel="0" collapsed="false">
      <c r="A41" s="44" t="str">
        <f aca="false">IF(B41="","",ROW()-4)</f>
        <v/>
      </c>
      <c r="B41" s="45"/>
      <c r="C41" s="46"/>
      <c r="D41" s="46"/>
      <c r="E41" s="47"/>
      <c r="F41" s="44" t="str">
        <f aca="true">IF(OR(B41="",E41="",C41="Done",C41="Cancelled"),"",E41-TODAY())</f>
        <v/>
      </c>
      <c r="G41" s="48" t="str">
        <f aca="true">IF(OR(B41="",C41="Done",C41="Cancelled"),"",IF(AND(E41&lt;&gt;"",E41&lt;TODAY()),"OVERDUE",IF(AND(E41&lt;&gt;"",E41=TODAY()),"DUE TODAY",IF(AND(K41&lt;&gt;"",K41&lt;=TODAY()),"FOLLOW UP",IF(AND(E41&lt;&gt;"",E41&lt;=TODAY()+3),"DUE SOON",IF(E41="","NO DUE DATE",""))))))</f>
        <v/>
      </c>
      <c r="H41" s="45"/>
      <c r="I41" s="46"/>
      <c r="J41" s="45"/>
      <c r="K41" s="47"/>
      <c r="L41" s="47"/>
      <c r="M41" s="47"/>
      <c r="N41" s="45"/>
    </row>
    <row r="42" customFormat="false" ht="18" hidden="false" customHeight="true" outlineLevel="0" collapsed="false">
      <c r="A42" s="44" t="str">
        <f aca="false">IF(B42="","",ROW()-4)</f>
        <v/>
      </c>
      <c r="B42" s="45"/>
      <c r="C42" s="46"/>
      <c r="D42" s="46"/>
      <c r="E42" s="47"/>
      <c r="F42" s="44" t="str">
        <f aca="true">IF(OR(B42="",E42="",C42="Done",C42="Cancelled"),"",E42-TODAY())</f>
        <v/>
      </c>
      <c r="G42" s="48" t="str">
        <f aca="true">IF(OR(B42="",C42="Done",C42="Cancelled"),"",IF(AND(E42&lt;&gt;"",E42&lt;TODAY()),"OVERDUE",IF(AND(E42&lt;&gt;"",E42=TODAY()),"DUE TODAY",IF(AND(K42&lt;&gt;"",K42&lt;=TODAY()),"FOLLOW UP",IF(AND(E42&lt;&gt;"",E42&lt;=TODAY()+3),"DUE SOON",IF(E42="","NO DUE DATE",""))))))</f>
        <v/>
      </c>
      <c r="H42" s="45"/>
      <c r="I42" s="46"/>
      <c r="J42" s="45"/>
      <c r="K42" s="47"/>
      <c r="L42" s="47"/>
      <c r="M42" s="47"/>
      <c r="N42" s="45"/>
    </row>
    <row r="43" customFormat="false" ht="18" hidden="false" customHeight="true" outlineLevel="0" collapsed="false">
      <c r="A43" s="44" t="str">
        <f aca="false">IF(B43="","",ROW()-4)</f>
        <v/>
      </c>
      <c r="B43" s="45"/>
      <c r="C43" s="46"/>
      <c r="D43" s="46"/>
      <c r="E43" s="47"/>
      <c r="F43" s="44" t="str">
        <f aca="true">IF(OR(B43="",E43="",C43="Done",C43="Cancelled"),"",E43-TODAY())</f>
        <v/>
      </c>
      <c r="G43" s="48" t="str">
        <f aca="true">IF(OR(B43="",C43="Done",C43="Cancelled"),"",IF(AND(E43&lt;&gt;"",E43&lt;TODAY()),"OVERDUE",IF(AND(E43&lt;&gt;"",E43=TODAY()),"DUE TODAY",IF(AND(K43&lt;&gt;"",K43&lt;=TODAY()),"FOLLOW UP",IF(AND(E43&lt;&gt;"",E43&lt;=TODAY()+3),"DUE SOON",IF(E43="","NO DUE DATE",""))))))</f>
        <v/>
      </c>
      <c r="H43" s="45"/>
      <c r="I43" s="46"/>
      <c r="J43" s="45"/>
      <c r="K43" s="47"/>
      <c r="L43" s="47"/>
      <c r="M43" s="47"/>
      <c r="N43" s="45"/>
    </row>
    <row r="44" customFormat="false" ht="18" hidden="false" customHeight="true" outlineLevel="0" collapsed="false">
      <c r="A44" s="44" t="str">
        <f aca="false">IF(B44="","",ROW()-4)</f>
        <v/>
      </c>
      <c r="B44" s="45"/>
      <c r="C44" s="46"/>
      <c r="D44" s="46"/>
      <c r="E44" s="47"/>
      <c r="F44" s="44" t="str">
        <f aca="true">IF(OR(B44="",E44="",C44="Done",C44="Cancelled"),"",E44-TODAY())</f>
        <v/>
      </c>
      <c r="G44" s="48" t="str">
        <f aca="true">IF(OR(B44="",C44="Done",C44="Cancelled"),"",IF(AND(E44&lt;&gt;"",E44&lt;TODAY()),"OVERDUE",IF(AND(E44&lt;&gt;"",E44=TODAY()),"DUE TODAY",IF(AND(K44&lt;&gt;"",K44&lt;=TODAY()),"FOLLOW UP",IF(AND(E44&lt;&gt;"",E44&lt;=TODAY()+3),"DUE SOON",IF(E44="","NO DUE DATE",""))))))</f>
        <v/>
      </c>
      <c r="H44" s="45"/>
      <c r="I44" s="46"/>
      <c r="J44" s="45"/>
      <c r="K44" s="47"/>
      <c r="L44" s="47"/>
      <c r="M44" s="47"/>
      <c r="N44" s="45"/>
    </row>
    <row r="45" customFormat="false" ht="18" hidden="false" customHeight="true" outlineLevel="0" collapsed="false">
      <c r="A45" s="44" t="str">
        <f aca="false">IF(B45="","",ROW()-4)</f>
        <v/>
      </c>
      <c r="B45" s="45"/>
      <c r="C45" s="46"/>
      <c r="D45" s="46"/>
      <c r="E45" s="47"/>
      <c r="F45" s="44" t="str">
        <f aca="true">IF(OR(B45="",E45="",C45="Done",C45="Cancelled"),"",E45-TODAY())</f>
        <v/>
      </c>
      <c r="G45" s="48" t="str">
        <f aca="true">IF(OR(B45="",C45="Done",C45="Cancelled"),"",IF(AND(E45&lt;&gt;"",E45&lt;TODAY()),"OVERDUE",IF(AND(E45&lt;&gt;"",E45=TODAY()),"DUE TODAY",IF(AND(K45&lt;&gt;"",K45&lt;=TODAY()),"FOLLOW UP",IF(AND(E45&lt;&gt;"",E45&lt;=TODAY()+3),"DUE SOON",IF(E45="","NO DUE DATE",""))))))</f>
        <v/>
      </c>
      <c r="H45" s="45"/>
      <c r="I45" s="46"/>
      <c r="J45" s="45"/>
      <c r="K45" s="47"/>
      <c r="L45" s="47"/>
      <c r="M45" s="47"/>
      <c r="N45" s="45"/>
    </row>
    <row r="46" customFormat="false" ht="18" hidden="false" customHeight="true" outlineLevel="0" collapsed="false">
      <c r="A46" s="44" t="str">
        <f aca="false">IF(B46="","",ROW()-4)</f>
        <v/>
      </c>
      <c r="B46" s="45"/>
      <c r="C46" s="46"/>
      <c r="D46" s="46"/>
      <c r="E46" s="47"/>
      <c r="F46" s="44" t="str">
        <f aca="true">IF(OR(B46="",E46="",C46="Done",C46="Cancelled"),"",E46-TODAY())</f>
        <v/>
      </c>
      <c r="G46" s="48" t="str">
        <f aca="true">IF(OR(B46="",C46="Done",C46="Cancelled"),"",IF(AND(E46&lt;&gt;"",E46&lt;TODAY()),"OVERDUE",IF(AND(E46&lt;&gt;"",E46=TODAY()),"DUE TODAY",IF(AND(K46&lt;&gt;"",K46&lt;=TODAY()),"FOLLOW UP",IF(AND(E46&lt;&gt;"",E46&lt;=TODAY()+3),"DUE SOON",IF(E46="","NO DUE DATE",""))))))</f>
        <v/>
      </c>
      <c r="H46" s="45"/>
      <c r="I46" s="46"/>
      <c r="J46" s="45"/>
      <c r="K46" s="47"/>
      <c r="L46" s="47"/>
      <c r="M46" s="47"/>
      <c r="N46" s="45"/>
    </row>
    <row r="47" customFormat="false" ht="18" hidden="false" customHeight="true" outlineLevel="0" collapsed="false">
      <c r="A47" s="44" t="str">
        <f aca="false">IF(B47="","",ROW()-4)</f>
        <v/>
      </c>
      <c r="B47" s="45"/>
      <c r="C47" s="46"/>
      <c r="D47" s="46"/>
      <c r="E47" s="47"/>
      <c r="F47" s="44" t="str">
        <f aca="true">IF(OR(B47="",E47="",C47="Done",C47="Cancelled"),"",E47-TODAY())</f>
        <v/>
      </c>
      <c r="G47" s="48" t="str">
        <f aca="true">IF(OR(B47="",C47="Done",C47="Cancelled"),"",IF(AND(E47&lt;&gt;"",E47&lt;TODAY()),"OVERDUE",IF(AND(E47&lt;&gt;"",E47=TODAY()),"DUE TODAY",IF(AND(K47&lt;&gt;"",K47&lt;=TODAY()),"FOLLOW UP",IF(AND(E47&lt;&gt;"",E47&lt;=TODAY()+3),"DUE SOON",IF(E47="","NO DUE DATE",""))))))</f>
        <v/>
      </c>
      <c r="H47" s="45"/>
      <c r="I47" s="46"/>
      <c r="J47" s="45"/>
      <c r="K47" s="47"/>
      <c r="L47" s="47"/>
      <c r="M47" s="47"/>
      <c r="N47" s="45"/>
    </row>
    <row r="48" customFormat="false" ht="18" hidden="false" customHeight="true" outlineLevel="0" collapsed="false">
      <c r="A48" s="44" t="str">
        <f aca="false">IF(B48="","",ROW()-4)</f>
        <v/>
      </c>
      <c r="B48" s="45"/>
      <c r="C48" s="46"/>
      <c r="D48" s="46"/>
      <c r="E48" s="47"/>
      <c r="F48" s="44" t="str">
        <f aca="true">IF(OR(B48="",E48="",C48="Done",C48="Cancelled"),"",E48-TODAY())</f>
        <v/>
      </c>
      <c r="G48" s="48" t="str">
        <f aca="true">IF(OR(B48="",C48="Done",C48="Cancelled"),"",IF(AND(E48&lt;&gt;"",E48&lt;TODAY()),"OVERDUE",IF(AND(E48&lt;&gt;"",E48=TODAY()),"DUE TODAY",IF(AND(K48&lt;&gt;"",K48&lt;=TODAY()),"FOLLOW UP",IF(AND(E48&lt;&gt;"",E48&lt;=TODAY()+3),"DUE SOON",IF(E48="","NO DUE DATE",""))))))</f>
        <v/>
      </c>
      <c r="H48" s="45"/>
      <c r="I48" s="46"/>
      <c r="J48" s="45"/>
      <c r="K48" s="47"/>
      <c r="L48" s="47"/>
      <c r="M48" s="47"/>
      <c r="N48" s="45"/>
    </row>
    <row r="49" customFormat="false" ht="18" hidden="false" customHeight="true" outlineLevel="0" collapsed="false">
      <c r="A49" s="44" t="str">
        <f aca="false">IF(B49="","",ROW()-4)</f>
        <v/>
      </c>
      <c r="B49" s="45"/>
      <c r="C49" s="46"/>
      <c r="D49" s="46"/>
      <c r="E49" s="47"/>
      <c r="F49" s="44" t="str">
        <f aca="true">IF(OR(B49="",E49="",C49="Done",C49="Cancelled"),"",E49-TODAY())</f>
        <v/>
      </c>
      <c r="G49" s="48" t="str">
        <f aca="true">IF(OR(B49="",C49="Done",C49="Cancelled"),"",IF(AND(E49&lt;&gt;"",E49&lt;TODAY()),"OVERDUE",IF(AND(E49&lt;&gt;"",E49=TODAY()),"DUE TODAY",IF(AND(K49&lt;&gt;"",K49&lt;=TODAY()),"FOLLOW UP",IF(AND(E49&lt;&gt;"",E49&lt;=TODAY()+3),"DUE SOON",IF(E49="","NO DUE DATE",""))))))</f>
        <v/>
      </c>
      <c r="H49" s="45"/>
      <c r="I49" s="46"/>
      <c r="J49" s="45"/>
      <c r="K49" s="47"/>
      <c r="L49" s="47"/>
      <c r="M49" s="47"/>
      <c r="N49" s="45"/>
    </row>
    <row r="50" customFormat="false" ht="18" hidden="false" customHeight="true" outlineLevel="0" collapsed="false">
      <c r="A50" s="44" t="str">
        <f aca="false">IF(B50="","",ROW()-4)</f>
        <v/>
      </c>
      <c r="B50" s="45"/>
      <c r="C50" s="46"/>
      <c r="D50" s="46"/>
      <c r="E50" s="47"/>
      <c r="F50" s="44" t="str">
        <f aca="true">IF(OR(B50="",E50="",C50="Done",C50="Cancelled"),"",E50-TODAY())</f>
        <v/>
      </c>
      <c r="G50" s="48" t="str">
        <f aca="true">IF(OR(B50="",C50="Done",C50="Cancelled"),"",IF(AND(E50&lt;&gt;"",E50&lt;TODAY()),"OVERDUE",IF(AND(E50&lt;&gt;"",E50=TODAY()),"DUE TODAY",IF(AND(K50&lt;&gt;"",K50&lt;=TODAY()),"FOLLOW UP",IF(AND(E50&lt;&gt;"",E50&lt;=TODAY()+3),"DUE SOON",IF(E50="","NO DUE DATE",""))))))</f>
        <v/>
      </c>
      <c r="H50" s="45"/>
      <c r="I50" s="46"/>
      <c r="J50" s="45"/>
      <c r="K50" s="47"/>
      <c r="L50" s="47"/>
      <c r="M50" s="47"/>
      <c r="N50" s="45"/>
    </row>
    <row r="51" customFormat="false" ht="18" hidden="false" customHeight="true" outlineLevel="0" collapsed="false">
      <c r="A51" s="44" t="str">
        <f aca="false">IF(B51="","",ROW()-4)</f>
        <v/>
      </c>
      <c r="B51" s="45"/>
      <c r="C51" s="46"/>
      <c r="D51" s="46"/>
      <c r="E51" s="47"/>
      <c r="F51" s="44" t="str">
        <f aca="true">IF(OR(B51="",E51="",C51="Done",C51="Cancelled"),"",E51-TODAY())</f>
        <v/>
      </c>
      <c r="G51" s="48" t="str">
        <f aca="true">IF(OR(B51="",C51="Done",C51="Cancelled"),"",IF(AND(E51&lt;&gt;"",E51&lt;TODAY()),"OVERDUE",IF(AND(E51&lt;&gt;"",E51=TODAY()),"DUE TODAY",IF(AND(K51&lt;&gt;"",K51&lt;=TODAY()),"FOLLOW UP",IF(AND(E51&lt;&gt;"",E51&lt;=TODAY()+3),"DUE SOON",IF(E51="","NO DUE DATE",""))))))</f>
        <v/>
      </c>
      <c r="H51" s="45"/>
      <c r="I51" s="46"/>
      <c r="J51" s="45"/>
      <c r="K51" s="47"/>
      <c r="L51" s="47"/>
      <c r="M51" s="47"/>
      <c r="N51" s="45"/>
    </row>
    <row r="52" customFormat="false" ht="18" hidden="false" customHeight="true" outlineLevel="0" collapsed="false">
      <c r="A52" s="44" t="str">
        <f aca="false">IF(B52="","",ROW()-4)</f>
        <v/>
      </c>
      <c r="B52" s="45"/>
      <c r="C52" s="46"/>
      <c r="D52" s="46"/>
      <c r="E52" s="47"/>
      <c r="F52" s="44" t="str">
        <f aca="true">IF(OR(B52="",E52="",C52="Done",C52="Cancelled"),"",E52-TODAY())</f>
        <v/>
      </c>
      <c r="G52" s="48" t="str">
        <f aca="true">IF(OR(B52="",C52="Done",C52="Cancelled"),"",IF(AND(E52&lt;&gt;"",E52&lt;TODAY()),"OVERDUE",IF(AND(E52&lt;&gt;"",E52=TODAY()),"DUE TODAY",IF(AND(K52&lt;&gt;"",K52&lt;=TODAY()),"FOLLOW UP",IF(AND(E52&lt;&gt;"",E52&lt;=TODAY()+3),"DUE SOON",IF(E52="","NO DUE DATE",""))))))</f>
        <v/>
      </c>
      <c r="H52" s="45"/>
      <c r="I52" s="46"/>
      <c r="J52" s="45"/>
      <c r="K52" s="47"/>
      <c r="L52" s="47"/>
      <c r="M52" s="47"/>
      <c r="N52" s="45"/>
    </row>
    <row r="53" customFormat="false" ht="18" hidden="false" customHeight="true" outlineLevel="0" collapsed="false">
      <c r="A53" s="44" t="str">
        <f aca="false">IF(B53="","",ROW()-4)</f>
        <v/>
      </c>
      <c r="B53" s="45"/>
      <c r="C53" s="46"/>
      <c r="D53" s="46"/>
      <c r="E53" s="47"/>
      <c r="F53" s="44" t="str">
        <f aca="true">IF(OR(B53="",E53="",C53="Done",C53="Cancelled"),"",E53-TODAY())</f>
        <v/>
      </c>
      <c r="G53" s="48" t="str">
        <f aca="true">IF(OR(B53="",C53="Done",C53="Cancelled"),"",IF(AND(E53&lt;&gt;"",E53&lt;TODAY()),"OVERDUE",IF(AND(E53&lt;&gt;"",E53=TODAY()),"DUE TODAY",IF(AND(K53&lt;&gt;"",K53&lt;=TODAY()),"FOLLOW UP",IF(AND(E53&lt;&gt;"",E53&lt;=TODAY()+3),"DUE SOON",IF(E53="","NO DUE DATE",""))))))</f>
        <v/>
      </c>
      <c r="H53" s="45"/>
      <c r="I53" s="46"/>
      <c r="J53" s="45"/>
      <c r="K53" s="47"/>
      <c r="L53" s="47"/>
      <c r="M53" s="47"/>
      <c r="N53" s="45"/>
    </row>
    <row r="54" customFormat="false" ht="18" hidden="false" customHeight="true" outlineLevel="0" collapsed="false">
      <c r="A54" s="44" t="str">
        <f aca="false">IF(B54="","",ROW()-4)</f>
        <v/>
      </c>
      <c r="B54" s="45"/>
      <c r="C54" s="46"/>
      <c r="D54" s="46"/>
      <c r="E54" s="47"/>
      <c r="F54" s="44" t="str">
        <f aca="true">IF(OR(B54="",E54="",C54="Done",C54="Cancelled"),"",E54-TODAY())</f>
        <v/>
      </c>
      <c r="G54" s="48" t="str">
        <f aca="true">IF(OR(B54="",C54="Done",C54="Cancelled"),"",IF(AND(E54&lt;&gt;"",E54&lt;TODAY()),"OVERDUE",IF(AND(E54&lt;&gt;"",E54=TODAY()),"DUE TODAY",IF(AND(K54&lt;&gt;"",K54&lt;=TODAY()),"FOLLOW UP",IF(AND(E54&lt;&gt;"",E54&lt;=TODAY()+3),"DUE SOON",IF(E54="","NO DUE DATE",""))))))</f>
        <v/>
      </c>
      <c r="H54" s="45"/>
      <c r="I54" s="46"/>
      <c r="J54" s="45"/>
      <c r="K54" s="47"/>
      <c r="L54" s="47"/>
      <c r="M54" s="47"/>
      <c r="N54" s="45"/>
    </row>
    <row r="55" customFormat="false" ht="18" hidden="false" customHeight="true" outlineLevel="0" collapsed="false">
      <c r="A55" s="44" t="str">
        <f aca="false">IF(B55="","",ROW()-4)</f>
        <v/>
      </c>
      <c r="B55" s="45"/>
      <c r="C55" s="46"/>
      <c r="D55" s="46"/>
      <c r="E55" s="47"/>
      <c r="F55" s="44" t="str">
        <f aca="true">IF(OR(B55="",E55="",C55="Done",C55="Cancelled"),"",E55-TODAY())</f>
        <v/>
      </c>
      <c r="G55" s="48" t="str">
        <f aca="true">IF(OR(B55="",C55="Done",C55="Cancelled"),"",IF(AND(E55&lt;&gt;"",E55&lt;TODAY()),"OVERDUE",IF(AND(E55&lt;&gt;"",E55=TODAY()),"DUE TODAY",IF(AND(K55&lt;&gt;"",K55&lt;=TODAY()),"FOLLOW UP",IF(AND(E55&lt;&gt;"",E55&lt;=TODAY()+3),"DUE SOON",IF(E55="","NO DUE DATE",""))))))</f>
        <v/>
      </c>
      <c r="H55" s="45"/>
      <c r="I55" s="46"/>
      <c r="J55" s="45"/>
      <c r="K55" s="47"/>
      <c r="L55" s="47"/>
      <c r="M55" s="47"/>
      <c r="N55" s="45"/>
    </row>
    <row r="56" customFormat="false" ht="18" hidden="false" customHeight="true" outlineLevel="0" collapsed="false">
      <c r="A56" s="44" t="str">
        <f aca="false">IF(B56="","",ROW()-4)</f>
        <v/>
      </c>
      <c r="B56" s="45"/>
      <c r="C56" s="46"/>
      <c r="D56" s="46"/>
      <c r="E56" s="47"/>
      <c r="F56" s="44" t="str">
        <f aca="true">IF(OR(B56="",E56="",C56="Done",C56="Cancelled"),"",E56-TODAY())</f>
        <v/>
      </c>
      <c r="G56" s="48" t="str">
        <f aca="true">IF(OR(B56="",C56="Done",C56="Cancelled"),"",IF(AND(E56&lt;&gt;"",E56&lt;TODAY()),"OVERDUE",IF(AND(E56&lt;&gt;"",E56=TODAY()),"DUE TODAY",IF(AND(K56&lt;&gt;"",K56&lt;=TODAY()),"FOLLOW UP",IF(AND(E56&lt;&gt;"",E56&lt;=TODAY()+3),"DUE SOON",IF(E56="","NO DUE DATE",""))))))</f>
        <v/>
      </c>
      <c r="H56" s="45"/>
      <c r="I56" s="46"/>
      <c r="J56" s="45"/>
      <c r="K56" s="47"/>
      <c r="L56" s="47"/>
      <c r="M56" s="47"/>
      <c r="N56" s="45"/>
    </row>
    <row r="57" customFormat="false" ht="18" hidden="false" customHeight="true" outlineLevel="0" collapsed="false">
      <c r="A57" s="44" t="str">
        <f aca="false">IF(B57="","",ROW()-4)</f>
        <v/>
      </c>
      <c r="B57" s="45"/>
      <c r="C57" s="46"/>
      <c r="D57" s="46"/>
      <c r="E57" s="47"/>
      <c r="F57" s="44" t="str">
        <f aca="true">IF(OR(B57="",E57="",C57="Done",C57="Cancelled"),"",E57-TODAY())</f>
        <v/>
      </c>
      <c r="G57" s="48" t="str">
        <f aca="true">IF(OR(B57="",C57="Done",C57="Cancelled"),"",IF(AND(E57&lt;&gt;"",E57&lt;TODAY()),"OVERDUE",IF(AND(E57&lt;&gt;"",E57=TODAY()),"DUE TODAY",IF(AND(K57&lt;&gt;"",K57&lt;=TODAY()),"FOLLOW UP",IF(AND(E57&lt;&gt;"",E57&lt;=TODAY()+3),"DUE SOON",IF(E57="","NO DUE DATE",""))))))</f>
        <v/>
      </c>
      <c r="H57" s="45"/>
      <c r="I57" s="46"/>
      <c r="J57" s="45"/>
      <c r="K57" s="47"/>
      <c r="L57" s="47"/>
      <c r="M57" s="47"/>
      <c r="N57" s="45"/>
    </row>
    <row r="58" customFormat="false" ht="18" hidden="false" customHeight="true" outlineLevel="0" collapsed="false">
      <c r="A58" s="44" t="str">
        <f aca="false">IF(B58="","",ROW()-4)</f>
        <v/>
      </c>
      <c r="B58" s="45"/>
      <c r="C58" s="46"/>
      <c r="D58" s="46"/>
      <c r="E58" s="47"/>
      <c r="F58" s="44" t="str">
        <f aca="true">IF(OR(B58="",E58="",C58="Done",C58="Cancelled"),"",E58-TODAY())</f>
        <v/>
      </c>
      <c r="G58" s="48" t="str">
        <f aca="true">IF(OR(B58="",C58="Done",C58="Cancelled"),"",IF(AND(E58&lt;&gt;"",E58&lt;TODAY()),"OVERDUE",IF(AND(E58&lt;&gt;"",E58=TODAY()),"DUE TODAY",IF(AND(K58&lt;&gt;"",K58&lt;=TODAY()),"FOLLOW UP",IF(AND(E58&lt;&gt;"",E58&lt;=TODAY()+3),"DUE SOON",IF(E58="","NO DUE DATE",""))))))</f>
        <v/>
      </c>
      <c r="H58" s="45"/>
      <c r="I58" s="46"/>
      <c r="J58" s="45"/>
      <c r="K58" s="47"/>
      <c r="L58" s="47"/>
      <c r="M58" s="47"/>
      <c r="N58" s="45"/>
    </row>
    <row r="59" customFormat="false" ht="18" hidden="false" customHeight="true" outlineLevel="0" collapsed="false">
      <c r="A59" s="44" t="str">
        <f aca="false">IF(B59="","",ROW()-4)</f>
        <v/>
      </c>
      <c r="B59" s="45"/>
      <c r="C59" s="46"/>
      <c r="D59" s="46"/>
      <c r="E59" s="47"/>
      <c r="F59" s="44" t="str">
        <f aca="true">IF(OR(B59="",E59="",C59="Done",C59="Cancelled"),"",E59-TODAY())</f>
        <v/>
      </c>
      <c r="G59" s="48" t="str">
        <f aca="true">IF(OR(B59="",C59="Done",C59="Cancelled"),"",IF(AND(E59&lt;&gt;"",E59&lt;TODAY()),"OVERDUE",IF(AND(E59&lt;&gt;"",E59=TODAY()),"DUE TODAY",IF(AND(K59&lt;&gt;"",K59&lt;=TODAY()),"FOLLOW UP",IF(AND(E59&lt;&gt;"",E59&lt;=TODAY()+3),"DUE SOON",IF(E59="","NO DUE DATE",""))))))</f>
        <v/>
      </c>
      <c r="H59" s="45"/>
      <c r="I59" s="46"/>
      <c r="J59" s="45"/>
      <c r="K59" s="47"/>
      <c r="L59" s="47"/>
      <c r="M59" s="47"/>
      <c r="N59" s="45"/>
    </row>
    <row r="60" customFormat="false" ht="18" hidden="false" customHeight="true" outlineLevel="0" collapsed="false">
      <c r="A60" s="44" t="str">
        <f aca="false">IF(B60="","",ROW()-4)</f>
        <v/>
      </c>
      <c r="B60" s="45"/>
      <c r="C60" s="46"/>
      <c r="D60" s="46"/>
      <c r="E60" s="47"/>
      <c r="F60" s="44" t="str">
        <f aca="true">IF(OR(B60="",E60="",C60="Done",C60="Cancelled"),"",E60-TODAY())</f>
        <v/>
      </c>
      <c r="G60" s="48" t="str">
        <f aca="true">IF(OR(B60="",C60="Done",C60="Cancelled"),"",IF(AND(E60&lt;&gt;"",E60&lt;TODAY()),"OVERDUE",IF(AND(E60&lt;&gt;"",E60=TODAY()),"DUE TODAY",IF(AND(K60&lt;&gt;"",K60&lt;=TODAY()),"FOLLOW UP",IF(AND(E60&lt;&gt;"",E60&lt;=TODAY()+3),"DUE SOON",IF(E60="","NO DUE DATE",""))))))</f>
        <v/>
      </c>
      <c r="H60" s="45"/>
      <c r="I60" s="46"/>
      <c r="J60" s="45"/>
      <c r="K60" s="47"/>
      <c r="L60" s="47"/>
      <c r="M60" s="47"/>
      <c r="N60" s="45"/>
    </row>
    <row r="61" customFormat="false" ht="18" hidden="false" customHeight="true" outlineLevel="0" collapsed="false">
      <c r="A61" s="44" t="str">
        <f aca="false">IF(B61="","",ROW()-4)</f>
        <v/>
      </c>
      <c r="B61" s="45"/>
      <c r="C61" s="46"/>
      <c r="D61" s="46"/>
      <c r="E61" s="47"/>
      <c r="F61" s="44" t="str">
        <f aca="true">IF(OR(B61="",E61="",C61="Done",C61="Cancelled"),"",E61-TODAY())</f>
        <v/>
      </c>
      <c r="G61" s="48" t="str">
        <f aca="true">IF(OR(B61="",C61="Done",C61="Cancelled"),"",IF(AND(E61&lt;&gt;"",E61&lt;TODAY()),"OVERDUE",IF(AND(E61&lt;&gt;"",E61=TODAY()),"DUE TODAY",IF(AND(K61&lt;&gt;"",K61&lt;=TODAY()),"FOLLOW UP",IF(AND(E61&lt;&gt;"",E61&lt;=TODAY()+3),"DUE SOON",IF(E61="","NO DUE DATE",""))))))</f>
        <v/>
      </c>
      <c r="H61" s="45"/>
      <c r="I61" s="46"/>
      <c r="J61" s="45"/>
      <c r="K61" s="47"/>
      <c r="L61" s="47"/>
      <c r="M61" s="47"/>
      <c r="N61" s="45"/>
    </row>
    <row r="62" customFormat="false" ht="18" hidden="false" customHeight="true" outlineLevel="0" collapsed="false">
      <c r="A62" s="44" t="str">
        <f aca="false">IF(B62="","",ROW()-4)</f>
        <v/>
      </c>
      <c r="B62" s="45"/>
      <c r="C62" s="46"/>
      <c r="D62" s="46"/>
      <c r="E62" s="47"/>
      <c r="F62" s="44" t="str">
        <f aca="true">IF(OR(B62="",E62="",C62="Done",C62="Cancelled"),"",E62-TODAY())</f>
        <v/>
      </c>
      <c r="G62" s="48" t="str">
        <f aca="true">IF(OR(B62="",C62="Done",C62="Cancelled"),"",IF(AND(E62&lt;&gt;"",E62&lt;TODAY()),"OVERDUE",IF(AND(E62&lt;&gt;"",E62=TODAY()),"DUE TODAY",IF(AND(K62&lt;&gt;"",K62&lt;=TODAY()),"FOLLOW UP",IF(AND(E62&lt;&gt;"",E62&lt;=TODAY()+3),"DUE SOON",IF(E62="","NO DUE DATE",""))))))</f>
        <v/>
      </c>
      <c r="H62" s="45"/>
      <c r="I62" s="46"/>
      <c r="J62" s="45"/>
      <c r="K62" s="47"/>
      <c r="L62" s="47"/>
      <c r="M62" s="47"/>
      <c r="N62" s="45"/>
    </row>
    <row r="63" customFormat="false" ht="18" hidden="false" customHeight="true" outlineLevel="0" collapsed="false">
      <c r="A63" s="44" t="str">
        <f aca="false">IF(B63="","",ROW()-4)</f>
        <v/>
      </c>
      <c r="B63" s="45"/>
      <c r="C63" s="46"/>
      <c r="D63" s="46"/>
      <c r="E63" s="47"/>
      <c r="F63" s="44" t="str">
        <f aca="true">IF(OR(B63="",E63="",C63="Done",C63="Cancelled"),"",E63-TODAY())</f>
        <v/>
      </c>
      <c r="G63" s="48" t="str">
        <f aca="true">IF(OR(B63="",C63="Done",C63="Cancelled"),"",IF(AND(E63&lt;&gt;"",E63&lt;TODAY()),"OVERDUE",IF(AND(E63&lt;&gt;"",E63=TODAY()),"DUE TODAY",IF(AND(K63&lt;&gt;"",K63&lt;=TODAY()),"FOLLOW UP",IF(AND(E63&lt;&gt;"",E63&lt;=TODAY()+3),"DUE SOON",IF(E63="","NO DUE DATE",""))))))</f>
        <v/>
      </c>
      <c r="H63" s="45"/>
      <c r="I63" s="46"/>
      <c r="J63" s="45"/>
      <c r="K63" s="47"/>
      <c r="L63" s="47"/>
      <c r="M63" s="47"/>
      <c r="N63" s="45"/>
    </row>
    <row r="64" customFormat="false" ht="18" hidden="false" customHeight="true" outlineLevel="0" collapsed="false">
      <c r="A64" s="44" t="str">
        <f aca="false">IF(B64="","",ROW()-4)</f>
        <v/>
      </c>
      <c r="B64" s="45"/>
      <c r="C64" s="46"/>
      <c r="D64" s="46"/>
      <c r="E64" s="47"/>
      <c r="F64" s="44" t="str">
        <f aca="true">IF(OR(B64="",E64="",C64="Done",C64="Cancelled"),"",E64-TODAY())</f>
        <v/>
      </c>
      <c r="G64" s="48" t="str">
        <f aca="true">IF(OR(B64="",C64="Done",C64="Cancelled"),"",IF(AND(E64&lt;&gt;"",E64&lt;TODAY()),"OVERDUE",IF(AND(E64&lt;&gt;"",E64=TODAY()),"DUE TODAY",IF(AND(K64&lt;&gt;"",K64&lt;=TODAY()),"FOLLOW UP",IF(AND(E64&lt;&gt;"",E64&lt;=TODAY()+3),"DUE SOON",IF(E64="","NO DUE DATE",""))))))</f>
        <v/>
      </c>
      <c r="H64" s="45"/>
      <c r="I64" s="46"/>
      <c r="J64" s="45"/>
      <c r="K64" s="47"/>
      <c r="L64" s="47"/>
      <c r="M64" s="47"/>
      <c r="N64" s="45"/>
    </row>
    <row r="65" customFormat="false" ht="18" hidden="false" customHeight="true" outlineLevel="0" collapsed="false">
      <c r="A65" s="44" t="str">
        <f aca="false">IF(B65="","",ROW()-4)</f>
        <v/>
      </c>
      <c r="B65" s="45"/>
      <c r="C65" s="46"/>
      <c r="D65" s="46"/>
      <c r="E65" s="47"/>
      <c r="F65" s="44" t="str">
        <f aca="true">IF(OR(B65="",E65="",C65="Done",C65="Cancelled"),"",E65-TODAY())</f>
        <v/>
      </c>
      <c r="G65" s="48" t="str">
        <f aca="true">IF(OR(B65="",C65="Done",C65="Cancelled"),"",IF(AND(E65&lt;&gt;"",E65&lt;TODAY()),"OVERDUE",IF(AND(E65&lt;&gt;"",E65=TODAY()),"DUE TODAY",IF(AND(K65&lt;&gt;"",K65&lt;=TODAY()),"FOLLOW UP",IF(AND(E65&lt;&gt;"",E65&lt;=TODAY()+3),"DUE SOON",IF(E65="","NO DUE DATE",""))))))</f>
        <v/>
      </c>
      <c r="H65" s="45"/>
      <c r="I65" s="46"/>
      <c r="J65" s="45"/>
      <c r="K65" s="47"/>
      <c r="L65" s="47"/>
      <c r="M65" s="47"/>
      <c r="N65" s="45"/>
    </row>
    <row r="66" customFormat="false" ht="18" hidden="false" customHeight="true" outlineLevel="0" collapsed="false">
      <c r="A66" s="44" t="str">
        <f aca="false">IF(B66="","",ROW()-4)</f>
        <v/>
      </c>
      <c r="B66" s="45"/>
      <c r="C66" s="46"/>
      <c r="D66" s="46"/>
      <c r="E66" s="47"/>
      <c r="F66" s="44" t="str">
        <f aca="true">IF(OR(B66="",E66="",C66="Done",C66="Cancelled"),"",E66-TODAY())</f>
        <v/>
      </c>
      <c r="G66" s="48" t="str">
        <f aca="true">IF(OR(B66="",C66="Done",C66="Cancelled"),"",IF(AND(E66&lt;&gt;"",E66&lt;TODAY()),"OVERDUE",IF(AND(E66&lt;&gt;"",E66=TODAY()),"DUE TODAY",IF(AND(K66&lt;&gt;"",K66&lt;=TODAY()),"FOLLOW UP",IF(AND(E66&lt;&gt;"",E66&lt;=TODAY()+3),"DUE SOON",IF(E66="","NO DUE DATE",""))))))</f>
        <v/>
      </c>
      <c r="H66" s="45"/>
      <c r="I66" s="46"/>
      <c r="J66" s="45"/>
      <c r="K66" s="47"/>
      <c r="L66" s="47"/>
      <c r="M66" s="47"/>
      <c r="N66" s="45"/>
    </row>
    <row r="67" customFormat="false" ht="18" hidden="false" customHeight="true" outlineLevel="0" collapsed="false">
      <c r="A67" s="44" t="str">
        <f aca="false">IF(B67="","",ROW()-4)</f>
        <v/>
      </c>
      <c r="B67" s="45"/>
      <c r="C67" s="46"/>
      <c r="D67" s="46"/>
      <c r="E67" s="47"/>
      <c r="F67" s="44" t="str">
        <f aca="true">IF(OR(B67="",E67="",C67="Done",C67="Cancelled"),"",E67-TODAY())</f>
        <v/>
      </c>
      <c r="G67" s="48" t="str">
        <f aca="true">IF(OR(B67="",C67="Done",C67="Cancelled"),"",IF(AND(E67&lt;&gt;"",E67&lt;TODAY()),"OVERDUE",IF(AND(E67&lt;&gt;"",E67=TODAY()),"DUE TODAY",IF(AND(K67&lt;&gt;"",K67&lt;=TODAY()),"FOLLOW UP",IF(AND(E67&lt;&gt;"",E67&lt;=TODAY()+3),"DUE SOON",IF(E67="","NO DUE DATE",""))))))</f>
        <v/>
      </c>
      <c r="H67" s="45"/>
      <c r="I67" s="46"/>
      <c r="J67" s="45"/>
      <c r="K67" s="47"/>
      <c r="L67" s="47"/>
      <c r="M67" s="47"/>
      <c r="N67" s="45"/>
    </row>
    <row r="68" customFormat="false" ht="18" hidden="false" customHeight="true" outlineLevel="0" collapsed="false">
      <c r="A68" s="44" t="str">
        <f aca="false">IF(B68="","",ROW()-4)</f>
        <v/>
      </c>
      <c r="B68" s="45"/>
      <c r="C68" s="46"/>
      <c r="D68" s="46"/>
      <c r="E68" s="47"/>
      <c r="F68" s="44" t="str">
        <f aca="true">IF(OR(B68="",E68="",C68="Done",C68="Cancelled"),"",E68-TODAY())</f>
        <v/>
      </c>
      <c r="G68" s="48" t="str">
        <f aca="true">IF(OR(B68="",C68="Done",C68="Cancelled"),"",IF(AND(E68&lt;&gt;"",E68&lt;TODAY()),"OVERDUE",IF(AND(E68&lt;&gt;"",E68=TODAY()),"DUE TODAY",IF(AND(K68&lt;&gt;"",K68&lt;=TODAY()),"FOLLOW UP",IF(AND(E68&lt;&gt;"",E68&lt;=TODAY()+3),"DUE SOON",IF(E68="","NO DUE DATE",""))))))</f>
        <v/>
      </c>
      <c r="H68" s="45"/>
      <c r="I68" s="46"/>
      <c r="J68" s="45"/>
      <c r="K68" s="47"/>
      <c r="L68" s="47"/>
      <c r="M68" s="47"/>
      <c r="N68" s="45"/>
    </row>
    <row r="69" customFormat="false" ht="18" hidden="false" customHeight="true" outlineLevel="0" collapsed="false">
      <c r="A69" s="44" t="str">
        <f aca="false">IF(B69="","",ROW()-4)</f>
        <v/>
      </c>
      <c r="B69" s="45"/>
      <c r="C69" s="46"/>
      <c r="D69" s="46"/>
      <c r="E69" s="47"/>
      <c r="F69" s="44" t="str">
        <f aca="true">IF(OR(B69="",E69="",C69="Done",C69="Cancelled"),"",E69-TODAY())</f>
        <v/>
      </c>
      <c r="G69" s="48" t="str">
        <f aca="true">IF(OR(B69="",C69="Done",C69="Cancelled"),"",IF(AND(E69&lt;&gt;"",E69&lt;TODAY()),"OVERDUE",IF(AND(E69&lt;&gt;"",E69=TODAY()),"DUE TODAY",IF(AND(K69&lt;&gt;"",K69&lt;=TODAY()),"FOLLOW UP",IF(AND(E69&lt;&gt;"",E69&lt;=TODAY()+3),"DUE SOON",IF(E69="","NO DUE DATE",""))))))</f>
        <v/>
      </c>
      <c r="H69" s="45"/>
      <c r="I69" s="46"/>
      <c r="J69" s="45"/>
      <c r="K69" s="47"/>
      <c r="L69" s="47"/>
      <c r="M69" s="47"/>
      <c r="N69" s="45"/>
    </row>
    <row r="70" customFormat="false" ht="18" hidden="false" customHeight="true" outlineLevel="0" collapsed="false">
      <c r="A70" s="44" t="str">
        <f aca="false">IF(B70="","",ROW()-4)</f>
        <v/>
      </c>
      <c r="B70" s="45"/>
      <c r="C70" s="46"/>
      <c r="D70" s="46"/>
      <c r="E70" s="47"/>
      <c r="F70" s="44" t="str">
        <f aca="true">IF(OR(B70="",E70="",C70="Done",C70="Cancelled"),"",E70-TODAY())</f>
        <v/>
      </c>
      <c r="G70" s="48" t="str">
        <f aca="true">IF(OR(B70="",C70="Done",C70="Cancelled"),"",IF(AND(E70&lt;&gt;"",E70&lt;TODAY()),"OVERDUE",IF(AND(E70&lt;&gt;"",E70=TODAY()),"DUE TODAY",IF(AND(K70&lt;&gt;"",K70&lt;=TODAY()),"FOLLOW UP",IF(AND(E70&lt;&gt;"",E70&lt;=TODAY()+3),"DUE SOON",IF(E70="","NO DUE DATE",""))))))</f>
        <v/>
      </c>
      <c r="H70" s="45"/>
      <c r="I70" s="46"/>
      <c r="J70" s="45"/>
      <c r="K70" s="47"/>
      <c r="L70" s="47"/>
      <c r="M70" s="47"/>
      <c r="N70" s="45"/>
    </row>
    <row r="71" customFormat="false" ht="18" hidden="false" customHeight="true" outlineLevel="0" collapsed="false">
      <c r="A71" s="44" t="str">
        <f aca="false">IF(B71="","",ROW()-4)</f>
        <v/>
      </c>
      <c r="B71" s="45"/>
      <c r="C71" s="46"/>
      <c r="D71" s="46"/>
      <c r="E71" s="47"/>
      <c r="F71" s="44" t="str">
        <f aca="true">IF(OR(B71="",E71="",C71="Done",C71="Cancelled"),"",E71-TODAY())</f>
        <v/>
      </c>
      <c r="G71" s="48" t="str">
        <f aca="true">IF(OR(B71="",C71="Done",C71="Cancelled"),"",IF(AND(E71&lt;&gt;"",E71&lt;TODAY()),"OVERDUE",IF(AND(E71&lt;&gt;"",E71=TODAY()),"DUE TODAY",IF(AND(K71&lt;&gt;"",K71&lt;=TODAY()),"FOLLOW UP",IF(AND(E71&lt;&gt;"",E71&lt;=TODAY()+3),"DUE SOON",IF(E71="","NO DUE DATE",""))))))</f>
        <v/>
      </c>
      <c r="H71" s="45"/>
      <c r="I71" s="46"/>
      <c r="J71" s="45"/>
      <c r="K71" s="47"/>
      <c r="L71" s="47"/>
      <c r="M71" s="47"/>
      <c r="N71" s="45"/>
    </row>
    <row r="72" customFormat="false" ht="18" hidden="false" customHeight="true" outlineLevel="0" collapsed="false">
      <c r="A72" s="44" t="str">
        <f aca="false">IF(B72="","",ROW()-4)</f>
        <v/>
      </c>
      <c r="B72" s="45"/>
      <c r="C72" s="46"/>
      <c r="D72" s="46"/>
      <c r="E72" s="47"/>
      <c r="F72" s="44" t="str">
        <f aca="true">IF(OR(B72="",E72="",C72="Done",C72="Cancelled"),"",E72-TODAY())</f>
        <v/>
      </c>
      <c r="G72" s="48" t="str">
        <f aca="true">IF(OR(B72="",C72="Done",C72="Cancelled"),"",IF(AND(E72&lt;&gt;"",E72&lt;TODAY()),"OVERDUE",IF(AND(E72&lt;&gt;"",E72=TODAY()),"DUE TODAY",IF(AND(K72&lt;&gt;"",K72&lt;=TODAY()),"FOLLOW UP",IF(AND(E72&lt;&gt;"",E72&lt;=TODAY()+3),"DUE SOON",IF(E72="","NO DUE DATE",""))))))</f>
        <v/>
      </c>
      <c r="H72" s="45"/>
      <c r="I72" s="46"/>
      <c r="J72" s="45"/>
      <c r="K72" s="47"/>
      <c r="L72" s="47"/>
      <c r="M72" s="47"/>
      <c r="N72" s="45"/>
    </row>
    <row r="73" customFormat="false" ht="18" hidden="false" customHeight="true" outlineLevel="0" collapsed="false">
      <c r="A73" s="44" t="str">
        <f aca="false">IF(B73="","",ROW()-4)</f>
        <v/>
      </c>
      <c r="B73" s="45"/>
      <c r="C73" s="46"/>
      <c r="D73" s="46"/>
      <c r="E73" s="47"/>
      <c r="F73" s="44" t="str">
        <f aca="true">IF(OR(B73="",E73="",C73="Done",C73="Cancelled"),"",E73-TODAY())</f>
        <v/>
      </c>
      <c r="G73" s="48" t="str">
        <f aca="true">IF(OR(B73="",C73="Done",C73="Cancelled"),"",IF(AND(E73&lt;&gt;"",E73&lt;TODAY()),"OVERDUE",IF(AND(E73&lt;&gt;"",E73=TODAY()),"DUE TODAY",IF(AND(K73&lt;&gt;"",K73&lt;=TODAY()),"FOLLOW UP",IF(AND(E73&lt;&gt;"",E73&lt;=TODAY()+3),"DUE SOON",IF(E73="","NO DUE DATE",""))))))</f>
        <v/>
      </c>
      <c r="H73" s="45"/>
      <c r="I73" s="46"/>
      <c r="J73" s="45"/>
      <c r="K73" s="47"/>
      <c r="L73" s="47"/>
      <c r="M73" s="47"/>
      <c r="N73" s="45"/>
    </row>
    <row r="74" customFormat="false" ht="18" hidden="false" customHeight="true" outlineLevel="0" collapsed="false">
      <c r="A74" s="44" t="str">
        <f aca="false">IF(B74="","",ROW()-4)</f>
        <v/>
      </c>
      <c r="B74" s="45"/>
      <c r="C74" s="46"/>
      <c r="D74" s="46"/>
      <c r="E74" s="47"/>
      <c r="F74" s="44" t="str">
        <f aca="true">IF(OR(B74="",E74="",C74="Done",C74="Cancelled"),"",E74-TODAY())</f>
        <v/>
      </c>
      <c r="G74" s="48" t="str">
        <f aca="true">IF(OR(B74="",C74="Done",C74="Cancelled"),"",IF(AND(E74&lt;&gt;"",E74&lt;TODAY()),"OVERDUE",IF(AND(E74&lt;&gt;"",E74=TODAY()),"DUE TODAY",IF(AND(K74&lt;&gt;"",K74&lt;=TODAY()),"FOLLOW UP",IF(AND(E74&lt;&gt;"",E74&lt;=TODAY()+3),"DUE SOON",IF(E74="","NO DUE DATE",""))))))</f>
        <v/>
      </c>
      <c r="H74" s="45"/>
      <c r="I74" s="46"/>
      <c r="J74" s="45"/>
      <c r="K74" s="47"/>
      <c r="L74" s="47"/>
      <c r="M74" s="47"/>
      <c r="N74" s="45"/>
    </row>
    <row r="75" customFormat="false" ht="18" hidden="false" customHeight="true" outlineLevel="0" collapsed="false">
      <c r="A75" s="44" t="str">
        <f aca="false">IF(B75="","",ROW()-4)</f>
        <v/>
      </c>
      <c r="B75" s="45"/>
      <c r="C75" s="46"/>
      <c r="D75" s="46"/>
      <c r="E75" s="47"/>
      <c r="F75" s="44" t="str">
        <f aca="true">IF(OR(B75="",E75="",C75="Done",C75="Cancelled"),"",E75-TODAY())</f>
        <v/>
      </c>
      <c r="G75" s="48" t="str">
        <f aca="true">IF(OR(B75="",C75="Done",C75="Cancelled"),"",IF(AND(E75&lt;&gt;"",E75&lt;TODAY()),"OVERDUE",IF(AND(E75&lt;&gt;"",E75=TODAY()),"DUE TODAY",IF(AND(K75&lt;&gt;"",K75&lt;=TODAY()),"FOLLOW UP",IF(AND(E75&lt;&gt;"",E75&lt;=TODAY()+3),"DUE SOON",IF(E75="","NO DUE DATE",""))))))</f>
        <v/>
      </c>
      <c r="H75" s="45"/>
      <c r="I75" s="46"/>
      <c r="J75" s="45"/>
      <c r="K75" s="47"/>
      <c r="L75" s="47"/>
      <c r="M75" s="47"/>
      <c r="N75" s="45"/>
    </row>
    <row r="76" customFormat="false" ht="18" hidden="false" customHeight="true" outlineLevel="0" collapsed="false">
      <c r="A76" s="44" t="str">
        <f aca="false">IF(B76="","",ROW()-4)</f>
        <v/>
      </c>
      <c r="B76" s="45"/>
      <c r="C76" s="46"/>
      <c r="D76" s="46"/>
      <c r="E76" s="47"/>
      <c r="F76" s="44" t="str">
        <f aca="true">IF(OR(B76="",E76="",C76="Done",C76="Cancelled"),"",E76-TODAY())</f>
        <v/>
      </c>
      <c r="G76" s="48" t="str">
        <f aca="true">IF(OR(B76="",C76="Done",C76="Cancelled"),"",IF(AND(E76&lt;&gt;"",E76&lt;TODAY()),"OVERDUE",IF(AND(E76&lt;&gt;"",E76=TODAY()),"DUE TODAY",IF(AND(K76&lt;&gt;"",K76&lt;=TODAY()),"FOLLOW UP",IF(AND(E76&lt;&gt;"",E76&lt;=TODAY()+3),"DUE SOON",IF(E76="","NO DUE DATE",""))))))</f>
        <v/>
      </c>
      <c r="H76" s="45"/>
      <c r="I76" s="46"/>
      <c r="J76" s="45"/>
      <c r="K76" s="47"/>
      <c r="L76" s="47"/>
      <c r="M76" s="47"/>
      <c r="N76" s="45"/>
    </row>
    <row r="77" customFormat="false" ht="18" hidden="false" customHeight="true" outlineLevel="0" collapsed="false">
      <c r="A77" s="44" t="str">
        <f aca="false">IF(B77="","",ROW()-4)</f>
        <v/>
      </c>
      <c r="B77" s="45"/>
      <c r="C77" s="46"/>
      <c r="D77" s="46"/>
      <c r="E77" s="47"/>
      <c r="F77" s="44" t="str">
        <f aca="true">IF(OR(B77="",E77="",C77="Done",C77="Cancelled"),"",E77-TODAY())</f>
        <v/>
      </c>
      <c r="G77" s="48" t="str">
        <f aca="true">IF(OR(B77="",C77="Done",C77="Cancelled"),"",IF(AND(E77&lt;&gt;"",E77&lt;TODAY()),"OVERDUE",IF(AND(E77&lt;&gt;"",E77=TODAY()),"DUE TODAY",IF(AND(K77&lt;&gt;"",K77&lt;=TODAY()),"FOLLOW UP",IF(AND(E77&lt;&gt;"",E77&lt;=TODAY()+3),"DUE SOON",IF(E77="","NO DUE DATE",""))))))</f>
        <v/>
      </c>
      <c r="H77" s="45"/>
      <c r="I77" s="46"/>
      <c r="J77" s="45"/>
      <c r="K77" s="47"/>
      <c r="L77" s="47"/>
      <c r="M77" s="47"/>
      <c r="N77" s="45"/>
    </row>
    <row r="78" customFormat="false" ht="18" hidden="false" customHeight="true" outlineLevel="0" collapsed="false">
      <c r="A78" s="44" t="str">
        <f aca="false">IF(B78="","",ROW()-4)</f>
        <v/>
      </c>
      <c r="B78" s="45"/>
      <c r="C78" s="46"/>
      <c r="D78" s="46"/>
      <c r="E78" s="47"/>
      <c r="F78" s="44" t="str">
        <f aca="true">IF(OR(B78="",E78="",C78="Done",C78="Cancelled"),"",E78-TODAY())</f>
        <v/>
      </c>
      <c r="G78" s="48" t="str">
        <f aca="true">IF(OR(B78="",C78="Done",C78="Cancelled"),"",IF(AND(E78&lt;&gt;"",E78&lt;TODAY()),"OVERDUE",IF(AND(E78&lt;&gt;"",E78=TODAY()),"DUE TODAY",IF(AND(K78&lt;&gt;"",K78&lt;=TODAY()),"FOLLOW UP",IF(AND(E78&lt;&gt;"",E78&lt;=TODAY()+3),"DUE SOON",IF(E78="","NO DUE DATE",""))))))</f>
        <v/>
      </c>
      <c r="H78" s="45"/>
      <c r="I78" s="46"/>
      <c r="J78" s="45"/>
      <c r="K78" s="47"/>
      <c r="L78" s="47"/>
      <c r="M78" s="47"/>
      <c r="N78" s="45"/>
    </row>
    <row r="79" customFormat="false" ht="18" hidden="false" customHeight="true" outlineLevel="0" collapsed="false">
      <c r="A79" s="44" t="str">
        <f aca="false">IF(B79="","",ROW()-4)</f>
        <v/>
      </c>
      <c r="B79" s="45"/>
      <c r="C79" s="46"/>
      <c r="D79" s="46"/>
      <c r="E79" s="47"/>
      <c r="F79" s="44" t="str">
        <f aca="true">IF(OR(B79="",E79="",C79="Done",C79="Cancelled"),"",E79-TODAY())</f>
        <v/>
      </c>
      <c r="G79" s="48" t="str">
        <f aca="true">IF(OR(B79="",C79="Done",C79="Cancelled"),"",IF(AND(E79&lt;&gt;"",E79&lt;TODAY()),"OVERDUE",IF(AND(E79&lt;&gt;"",E79=TODAY()),"DUE TODAY",IF(AND(K79&lt;&gt;"",K79&lt;=TODAY()),"FOLLOW UP",IF(AND(E79&lt;&gt;"",E79&lt;=TODAY()+3),"DUE SOON",IF(E79="","NO DUE DATE",""))))))</f>
        <v/>
      </c>
      <c r="H79" s="45"/>
      <c r="I79" s="46"/>
      <c r="J79" s="45"/>
      <c r="K79" s="47"/>
      <c r="L79" s="47"/>
      <c r="M79" s="47"/>
      <c r="N79" s="45"/>
    </row>
    <row r="80" customFormat="false" ht="18" hidden="false" customHeight="true" outlineLevel="0" collapsed="false">
      <c r="A80" s="44" t="str">
        <f aca="false">IF(B80="","",ROW()-4)</f>
        <v/>
      </c>
      <c r="B80" s="45"/>
      <c r="C80" s="46"/>
      <c r="D80" s="46"/>
      <c r="E80" s="47"/>
      <c r="F80" s="44" t="str">
        <f aca="true">IF(OR(B80="",E80="",C80="Done",C80="Cancelled"),"",E80-TODAY())</f>
        <v/>
      </c>
      <c r="G80" s="48" t="str">
        <f aca="true">IF(OR(B80="",C80="Done",C80="Cancelled"),"",IF(AND(E80&lt;&gt;"",E80&lt;TODAY()),"OVERDUE",IF(AND(E80&lt;&gt;"",E80=TODAY()),"DUE TODAY",IF(AND(K80&lt;&gt;"",K80&lt;=TODAY()),"FOLLOW UP",IF(AND(E80&lt;&gt;"",E80&lt;=TODAY()+3),"DUE SOON",IF(E80="","NO DUE DATE",""))))))</f>
        <v/>
      </c>
      <c r="H80" s="45"/>
      <c r="I80" s="46"/>
      <c r="J80" s="45"/>
      <c r="K80" s="47"/>
      <c r="L80" s="47"/>
      <c r="M80" s="47"/>
      <c r="N80" s="45"/>
    </row>
    <row r="81" customFormat="false" ht="18" hidden="false" customHeight="true" outlineLevel="0" collapsed="false">
      <c r="A81" s="44" t="str">
        <f aca="false">IF(B81="","",ROW()-4)</f>
        <v/>
      </c>
      <c r="B81" s="45"/>
      <c r="C81" s="46"/>
      <c r="D81" s="46"/>
      <c r="E81" s="47"/>
      <c r="F81" s="44" t="str">
        <f aca="true">IF(OR(B81="",E81="",C81="Done",C81="Cancelled"),"",E81-TODAY())</f>
        <v/>
      </c>
      <c r="G81" s="48" t="str">
        <f aca="true">IF(OR(B81="",C81="Done",C81="Cancelled"),"",IF(AND(E81&lt;&gt;"",E81&lt;TODAY()),"OVERDUE",IF(AND(E81&lt;&gt;"",E81=TODAY()),"DUE TODAY",IF(AND(K81&lt;&gt;"",K81&lt;=TODAY()),"FOLLOW UP",IF(AND(E81&lt;&gt;"",E81&lt;=TODAY()+3),"DUE SOON",IF(E81="","NO DUE DATE",""))))))</f>
        <v/>
      </c>
      <c r="H81" s="45"/>
      <c r="I81" s="46"/>
      <c r="J81" s="45"/>
      <c r="K81" s="47"/>
      <c r="L81" s="47"/>
      <c r="M81" s="47"/>
      <c r="N81" s="45"/>
    </row>
    <row r="82" customFormat="false" ht="18" hidden="false" customHeight="true" outlineLevel="0" collapsed="false">
      <c r="A82" s="44" t="str">
        <f aca="false">IF(B82="","",ROW()-4)</f>
        <v/>
      </c>
      <c r="B82" s="45"/>
      <c r="C82" s="46"/>
      <c r="D82" s="46"/>
      <c r="E82" s="47"/>
      <c r="F82" s="44" t="str">
        <f aca="true">IF(OR(B82="",E82="",C82="Done",C82="Cancelled"),"",E82-TODAY())</f>
        <v/>
      </c>
      <c r="G82" s="48" t="str">
        <f aca="true">IF(OR(B82="",C82="Done",C82="Cancelled"),"",IF(AND(E82&lt;&gt;"",E82&lt;TODAY()),"OVERDUE",IF(AND(E82&lt;&gt;"",E82=TODAY()),"DUE TODAY",IF(AND(K82&lt;&gt;"",K82&lt;=TODAY()),"FOLLOW UP",IF(AND(E82&lt;&gt;"",E82&lt;=TODAY()+3),"DUE SOON",IF(E82="","NO DUE DATE",""))))))</f>
        <v/>
      </c>
      <c r="H82" s="45"/>
      <c r="I82" s="46"/>
      <c r="J82" s="45"/>
      <c r="K82" s="47"/>
      <c r="L82" s="47"/>
      <c r="M82" s="47"/>
      <c r="N82" s="45"/>
    </row>
    <row r="83" customFormat="false" ht="18" hidden="false" customHeight="true" outlineLevel="0" collapsed="false">
      <c r="A83" s="44" t="str">
        <f aca="false">IF(B83="","",ROW()-4)</f>
        <v/>
      </c>
      <c r="B83" s="45"/>
      <c r="C83" s="46"/>
      <c r="D83" s="46"/>
      <c r="E83" s="47"/>
      <c r="F83" s="44" t="str">
        <f aca="true">IF(OR(B83="",E83="",C83="Done",C83="Cancelled"),"",E83-TODAY())</f>
        <v/>
      </c>
      <c r="G83" s="48" t="str">
        <f aca="true">IF(OR(B83="",C83="Done",C83="Cancelled"),"",IF(AND(E83&lt;&gt;"",E83&lt;TODAY()),"OVERDUE",IF(AND(E83&lt;&gt;"",E83=TODAY()),"DUE TODAY",IF(AND(K83&lt;&gt;"",K83&lt;=TODAY()),"FOLLOW UP",IF(AND(E83&lt;&gt;"",E83&lt;=TODAY()+3),"DUE SOON",IF(E83="","NO DUE DATE",""))))))</f>
        <v/>
      </c>
      <c r="H83" s="45"/>
      <c r="I83" s="46"/>
      <c r="J83" s="45"/>
      <c r="K83" s="47"/>
      <c r="L83" s="47"/>
      <c r="M83" s="47"/>
      <c r="N83" s="45"/>
    </row>
    <row r="84" customFormat="false" ht="18" hidden="false" customHeight="true" outlineLevel="0" collapsed="false">
      <c r="A84" s="44" t="str">
        <f aca="false">IF(B84="","",ROW()-4)</f>
        <v/>
      </c>
      <c r="B84" s="45"/>
      <c r="C84" s="46"/>
      <c r="D84" s="46"/>
      <c r="E84" s="47"/>
      <c r="F84" s="44" t="str">
        <f aca="true">IF(OR(B84="",E84="",C84="Done",C84="Cancelled"),"",E84-TODAY())</f>
        <v/>
      </c>
      <c r="G84" s="48" t="str">
        <f aca="true">IF(OR(B84="",C84="Done",C84="Cancelled"),"",IF(AND(E84&lt;&gt;"",E84&lt;TODAY()),"OVERDUE",IF(AND(E84&lt;&gt;"",E84=TODAY()),"DUE TODAY",IF(AND(K84&lt;&gt;"",K84&lt;=TODAY()),"FOLLOW UP",IF(AND(E84&lt;&gt;"",E84&lt;=TODAY()+3),"DUE SOON",IF(E84="","NO DUE DATE",""))))))</f>
        <v/>
      </c>
      <c r="H84" s="45"/>
      <c r="I84" s="46"/>
      <c r="J84" s="45"/>
      <c r="K84" s="47"/>
      <c r="L84" s="47"/>
      <c r="M84" s="47"/>
      <c r="N84" s="45"/>
    </row>
    <row r="85" customFormat="false" ht="18" hidden="false" customHeight="true" outlineLevel="0" collapsed="false">
      <c r="A85" s="44" t="str">
        <f aca="false">IF(B85="","",ROW()-4)</f>
        <v/>
      </c>
      <c r="B85" s="45"/>
      <c r="C85" s="46"/>
      <c r="D85" s="46"/>
      <c r="E85" s="47"/>
      <c r="F85" s="44" t="str">
        <f aca="true">IF(OR(B85="",E85="",C85="Done",C85="Cancelled"),"",E85-TODAY())</f>
        <v/>
      </c>
      <c r="G85" s="48" t="str">
        <f aca="true">IF(OR(B85="",C85="Done",C85="Cancelled"),"",IF(AND(E85&lt;&gt;"",E85&lt;TODAY()),"OVERDUE",IF(AND(E85&lt;&gt;"",E85=TODAY()),"DUE TODAY",IF(AND(K85&lt;&gt;"",K85&lt;=TODAY()),"FOLLOW UP",IF(AND(E85&lt;&gt;"",E85&lt;=TODAY()+3),"DUE SOON",IF(E85="","NO DUE DATE",""))))))</f>
        <v/>
      </c>
      <c r="H85" s="45"/>
      <c r="I85" s="46"/>
      <c r="J85" s="45"/>
      <c r="K85" s="47"/>
      <c r="L85" s="47"/>
      <c r="M85" s="47"/>
      <c r="N85" s="45"/>
    </row>
    <row r="86" customFormat="false" ht="18" hidden="false" customHeight="true" outlineLevel="0" collapsed="false">
      <c r="A86" s="44" t="str">
        <f aca="false">IF(B86="","",ROW()-4)</f>
        <v/>
      </c>
      <c r="B86" s="45"/>
      <c r="C86" s="46"/>
      <c r="D86" s="46"/>
      <c r="E86" s="47"/>
      <c r="F86" s="44" t="str">
        <f aca="true">IF(OR(B86="",E86="",C86="Done",C86="Cancelled"),"",E86-TODAY())</f>
        <v/>
      </c>
      <c r="G86" s="48" t="str">
        <f aca="true">IF(OR(B86="",C86="Done",C86="Cancelled"),"",IF(AND(E86&lt;&gt;"",E86&lt;TODAY()),"OVERDUE",IF(AND(E86&lt;&gt;"",E86=TODAY()),"DUE TODAY",IF(AND(K86&lt;&gt;"",K86&lt;=TODAY()),"FOLLOW UP",IF(AND(E86&lt;&gt;"",E86&lt;=TODAY()+3),"DUE SOON",IF(E86="","NO DUE DATE",""))))))</f>
        <v/>
      </c>
      <c r="H86" s="45"/>
      <c r="I86" s="46"/>
      <c r="J86" s="45"/>
      <c r="K86" s="47"/>
      <c r="L86" s="47"/>
      <c r="M86" s="47"/>
      <c r="N86" s="45"/>
    </row>
    <row r="87" customFormat="false" ht="18" hidden="false" customHeight="true" outlineLevel="0" collapsed="false">
      <c r="A87" s="44" t="str">
        <f aca="false">IF(B87="","",ROW()-4)</f>
        <v/>
      </c>
      <c r="B87" s="45"/>
      <c r="C87" s="46"/>
      <c r="D87" s="46"/>
      <c r="E87" s="47"/>
      <c r="F87" s="44" t="str">
        <f aca="true">IF(OR(B87="",E87="",C87="Done",C87="Cancelled"),"",E87-TODAY())</f>
        <v/>
      </c>
      <c r="G87" s="48" t="str">
        <f aca="true">IF(OR(B87="",C87="Done",C87="Cancelled"),"",IF(AND(E87&lt;&gt;"",E87&lt;TODAY()),"OVERDUE",IF(AND(E87&lt;&gt;"",E87=TODAY()),"DUE TODAY",IF(AND(K87&lt;&gt;"",K87&lt;=TODAY()),"FOLLOW UP",IF(AND(E87&lt;&gt;"",E87&lt;=TODAY()+3),"DUE SOON",IF(E87="","NO DUE DATE",""))))))</f>
        <v/>
      </c>
      <c r="H87" s="45"/>
      <c r="I87" s="46"/>
      <c r="J87" s="45"/>
      <c r="K87" s="47"/>
      <c r="L87" s="47"/>
      <c r="M87" s="47"/>
      <c r="N87" s="45"/>
    </row>
    <row r="88" customFormat="false" ht="18" hidden="false" customHeight="true" outlineLevel="0" collapsed="false">
      <c r="A88" s="44" t="str">
        <f aca="false">IF(B88="","",ROW()-4)</f>
        <v/>
      </c>
      <c r="B88" s="45"/>
      <c r="C88" s="46"/>
      <c r="D88" s="46"/>
      <c r="E88" s="47"/>
      <c r="F88" s="44" t="str">
        <f aca="true">IF(OR(B88="",E88="",C88="Done",C88="Cancelled"),"",E88-TODAY())</f>
        <v/>
      </c>
      <c r="G88" s="48" t="str">
        <f aca="true">IF(OR(B88="",C88="Done",C88="Cancelled"),"",IF(AND(E88&lt;&gt;"",E88&lt;TODAY()),"OVERDUE",IF(AND(E88&lt;&gt;"",E88=TODAY()),"DUE TODAY",IF(AND(K88&lt;&gt;"",K88&lt;=TODAY()),"FOLLOW UP",IF(AND(E88&lt;&gt;"",E88&lt;=TODAY()+3),"DUE SOON",IF(E88="","NO DUE DATE",""))))))</f>
        <v/>
      </c>
      <c r="H88" s="45"/>
      <c r="I88" s="46"/>
      <c r="J88" s="45"/>
      <c r="K88" s="47"/>
      <c r="L88" s="47"/>
      <c r="M88" s="47"/>
      <c r="N88" s="45"/>
    </row>
    <row r="89" customFormat="false" ht="18" hidden="false" customHeight="true" outlineLevel="0" collapsed="false">
      <c r="A89" s="44" t="str">
        <f aca="false">IF(B89="","",ROW()-4)</f>
        <v/>
      </c>
      <c r="B89" s="45"/>
      <c r="C89" s="46"/>
      <c r="D89" s="46"/>
      <c r="E89" s="47"/>
      <c r="F89" s="44" t="str">
        <f aca="true">IF(OR(B89="",E89="",C89="Done",C89="Cancelled"),"",E89-TODAY())</f>
        <v/>
      </c>
      <c r="G89" s="48" t="str">
        <f aca="true">IF(OR(B89="",C89="Done",C89="Cancelled"),"",IF(AND(E89&lt;&gt;"",E89&lt;TODAY()),"OVERDUE",IF(AND(E89&lt;&gt;"",E89=TODAY()),"DUE TODAY",IF(AND(K89&lt;&gt;"",K89&lt;=TODAY()),"FOLLOW UP",IF(AND(E89&lt;&gt;"",E89&lt;=TODAY()+3),"DUE SOON",IF(E89="","NO DUE DATE",""))))))</f>
        <v/>
      </c>
      <c r="H89" s="45"/>
      <c r="I89" s="46"/>
      <c r="J89" s="45"/>
      <c r="K89" s="47"/>
      <c r="L89" s="47"/>
      <c r="M89" s="47"/>
      <c r="N89" s="45"/>
    </row>
    <row r="90" customFormat="false" ht="18" hidden="false" customHeight="true" outlineLevel="0" collapsed="false">
      <c r="A90" s="44" t="str">
        <f aca="false">IF(B90="","",ROW()-4)</f>
        <v/>
      </c>
      <c r="B90" s="45"/>
      <c r="C90" s="46"/>
      <c r="D90" s="46"/>
      <c r="E90" s="47"/>
      <c r="F90" s="44" t="str">
        <f aca="true">IF(OR(B90="",E90="",C90="Done",C90="Cancelled"),"",E90-TODAY())</f>
        <v/>
      </c>
      <c r="G90" s="48" t="str">
        <f aca="true">IF(OR(B90="",C90="Done",C90="Cancelled"),"",IF(AND(E90&lt;&gt;"",E90&lt;TODAY()),"OVERDUE",IF(AND(E90&lt;&gt;"",E90=TODAY()),"DUE TODAY",IF(AND(K90&lt;&gt;"",K90&lt;=TODAY()),"FOLLOW UP",IF(AND(E90&lt;&gt;"",E90&lt;=TODAY()+3),"DUE SOON",IF(E90="","NO DUE DATE",""))))))</f>
        <v/>
      </c>
      <c r="H90" s="45"/>
      <c r="I90" s="46"/>
      <c r="J90" s="45"/>
      <c r="K90" s="47"/>
      <c r="L90" s="47"/>
      <c r="M90" s="47"/>
      <c r="N90" s="45"/>
    </row>
    <row r="91" customFormat="false" ht="18" hidden="false" customHeight="true" outlineLevel="0" collapsed="false">
      <c r="A91" s="44" t="str">
        <f aca="false">IF(B91="","",ROW()-4)</f>
        <v/>
      </c>
      <c r="B91" s="45"/>
      <c r="C91" s="46"/>
      <c r="D91" s="46"/>
      <c r="E91" s="47"/>
      <c r="F91" s="44" t="str">
        <f aca="true">IF(OR(B91="",E91="",C91="Done",C91="Cancelled"),"",E91-TODAY())</f>
        <v/>
      </c>
      <c r="G91" s="48" t="str">
        <f aca="true">IF(OR(B91="",C91="Done",C91="Cancelled"),"",IF(AND(E91&lt;&gt;"",E91&lt;TODAY()),"OVERDUE",IF(AND(E91&lt;&gt;"",E91=TODAY()),"DUE TODAY",IF(AND(K91&lt;&gt;"",K91&lt;=TODAY()),"FOLLOW UP",IF(AND(E91&lt;&gt;"",E91&lt;=TODAY()+3),"DUE SOON",IF(E91="","NO DUE DATE",""))))))</f>
        <v/>
      </c>
      <c r="H91" s="45"/>
      <c r="I91" s="46"/>
      <c r="J91" s="45"/>
      <c r="K91" s="47"/>
      <c r="L91" s="47"/>
      <c r="M91" s="47"/>
      <c r="N91" s="45"/>
    </row>
    <row r="92" customFormat="false" ht="18" hidden="false" customHeight="true" outlineLevel="0" collapsed="false">
      <c r="A92" s="44" t="str">
        <f aca="false">IF(B92="","",ROW()-4)</f>
        <v/>
      </c>
      <c r="B92" s="45"/>
      <c r="C92" s="46"/>
      <c r="D92" s="46"/>
      <c r="E92" s="47"/>
      <c r="F92" s="44" t="str">
        <f aca="true">IF(OR(B92="",E92="",C92="Done",C92="Cancelled"),"",E92-TODAY())</f>
        <v/>
      </c>
      <c r="G92" s="48" t="str">
        <f aca="true">IF(OR(B92="",C92="Done",C92="Cancelled"),"",IF(AND(E92&lt;&gt;"",E92&lt;TODAY()),"OVERDUE",IF(AND(E92&lt;&gt;"",E92=TODAY()),"DUE TODAY",IF(AND(K92&lt;&gt;"",K92&lt;=TODAY()),"FOLLOW UP",IF(AND(E92&lt;&gt;"",E92&lt;=TODAY()+3),"DUE SOON",IF(E92="","NO DUE DATE",""))))))</f>
        <v/>
      </c>
      <c r="H92" s="45"/>
      <c r="I92" s="46"/>
      <c r="J92" s="45"/>
      <c r="K92" s="47"/>
      <c r="L92" s="47"/>
      <c r="M92" s="47"/>
      <c r="N92" s="45"/>
    </row>
    <row r="93" customFormat="false" ht="18" hidden="false" customHeight="true" outlineLevel="0" collapsed="false">
      <c r="A93" s="44" t="str">
        <f aca="false">IF(B93="","",ROW()-4)</f>
        <v/>
      </c>
      <c r="B93" s="45"/>
      <c r="C93" s="46"/>
      <c r="D93" s="46"/>
      <c r="E93" s="47"/>
      <c r="F93" s="44" t="str">
        <f aca="true">IF(OR(B93="",E93="",C93="Done",C93="Cancelled"),"",E93-TODAY())</f>
        <v/>
      </c>
      <c r="G93" s="48" t="str">
        <f aca="true">IF(OR(B93="",C93="Done",C93="Cancelled"),"",IF(AND(E93&lt;&gt;"",E93&lt;TODAY()),"OVERDUE",IF(AND(E93&lt;&gt;"",E93=TODAY()),"DUE TODAY",IF(AND(K93&lt;&gt;"",K93&lt;=TODAY()),"FOLLOW UP",IF(AND(E93&lt;&gt;"",E93&lt;=TODAY()+3),"DUE SOON",IF(E93="","NO DUE DATE",""))))))</f>
        <v/>
      </c>
      <c r="H93" s="45"/>
      <c r="I93" s="46"/>
      <c r="J93" s="45"/>
      <c r="K93" s="47"/>
      <c r="L93" s="47"/>
      <c r="M93" s="47"/>
      <c r="N93" s="45"/>
    </row>
    <row r="94" customFormat="false" ht="18" hidden="false" customHeight="true" outlineLevel="0" collapsed="false">
      <c r="A94" s="44" t="str">
        <f aca="false">IF(B94="","",ROW()-4)</f>
        <v/>
      </c>
      <c r="B94" s="45"/>
      <c r="C94" s="46"/>
      <c r="D94" s="46"/>
      <c r="E94" s="47"/>
      <c r="F94" s="44" t="str">
        <f aca="true">IF(OR(B94="",E94="",C94="Done",C94="Cancelled"),"",E94-TODAY())</f>
        <v/>
      </c>
      <c r="G94" s="48" t="str">
        <f aca="true">IF(OR(B94="",C94="Done",C94="Cancelled"),"",IF(AND(E94&lt;&gt;"",E94&lt;TODAY()),"OVERDUE",IF(AND(E94&lt;&gt;"",E94=TODAY()),"DUE TODAY",IF(AND(K94&lt;&gt;"",K94&lt;=TODAY()),"FOLLOW UP",IF(AND(E94&lt;&gt;"",E94&lt;=TODAY()+3),"DUE SOON",IF(E94="","NO DUE DATE",""))))))</f>
        <v/>
      </c>
      <c r="H94" s="45"/>
      <c r="I94" s="46"/>
      <c r="J94" s="45"/>
      <c r="K94" s="47"/>
      <c r="L94" s="47"/>
      <c r="M94" s="47"/>
      <c r="N94" s="45"/>
    </row>
    <row r="95" customFormat="false" ht="18" hidden="false" customHeight="true" outlineLevel="0" collapsed="false">
      <c r="A95" s="44" t="str">
        <f aca="false">IF(B95="","",ROW()-4)</f>
        <v/>
      </c>
      <c r="B95" s="45"/>
      <c r="C95" s="46"/>
      <c r="D95" s="46"/>
      <c r="E95" s="47"/>
      <c r="F95" s="44" t="str">
        <f aca="true">IF(OR(B95="",E95="",C95="Done",C95="Cancelled"),"",E95-TODAY())</f>
        <v/>
      </c>
      <c r="G95" s="48" t="str">
        <f aca="true">IF(OR(B95="",C95="Done",C95="Cancelled"),"",IF(AND(E95&lt;&gt;"",E95&lt;TODAY()),"OVERDUE",IF(AND(E95&lt;&gt;"",E95=TODAY()),"DUE TODAY",IF(AND(K95&lt;&gt;"",K95&lt;=TODAY()),"FOLLOW UP",IF(AND(E95&lt;&gt;"",E95&lt;=TODAY()+3),"DUE SOON",IF(E95="","NO DUE DATE",""))))))</f>
        <v/>
      </c>
      <c r="H95" s="45"/>
      <c r="I95" s="46"/>
      <c r="J95" s="45"/>
      <c r="K95" s="47"/>
      <c r="L95" s="47"/>
      <c r="M95" s="47"/>
      <c r="N95" s="45"/>
    </row>
    <row r="96" customFormat="false" ht="18" hidden="false" customHeight="true" outlineLevel="0" collapsed="false">
      <c r="A96" s="44" t="str">
        <f aca="false">IF(B96="","",ROW()-4)</f>
        <v/>
      </c>
      <c r="B96" s="45"/>
      <c r="C96" s="46"/>
      <c r="D96" s="46"/>
      <c r="E96" s="47"/>
      <c r="F96" s="44" t="str">
        <f aca="true">IF(OR(B96="",E96="",C96="Done",C96="Cancelled"),"",E96-TODAY())</f>
        <v/>
      </c>
      <c r="G96" s="48" t="str">
        <f aca="true">IF(OR(B96="",C96="Done",C96="Cancelled"),"",IF(AND(E96&lt;&gt;"",E96&lt;TODAY()),"OVERDUE",IF(AND(E96&lt;&gt;"",E96=TODAY()),"DUE TODAY",IF(AND(K96&lt;&gt;"",K96&lt;=TODAY()),"FOLLOW UP",IF(AND(E96&lt;&gt;"",E96&lt;=TODAY()+3),"DUE SOON",IF(E96="","NO DUE DATE",""))))))</f>
        <v/>
      </c>
      <c r="H96" s="45"/>
      <c r="I96" s="46"/>
      <c r="J96" s="45"/>
      <c r="K96" s="47"/>
      <c r="L96" s="47"/>
      <c r="M96" s="47"/>
      <c r="N96" s="45"/>
    </row>
    <row r="97" customFormat="false" ht="18" hidden="false" customHeight="true" outlineLevel="0" collapsed="false">
      <c r="A97" s="44" t="str">
        <f aca="false">IF(B97="","",ROW()-4)</f>
        <v/>
      </c>
      <c r="B97" s="45"/>
      <c r="C97" s="46"/>
      <c r="D97" s="46"/>
      <c r="E97" s="47"/>
      <c r="F97" s="44" t="str">
        <f aca="true">IF(OR(B97="",E97="",C97="Done",C97="Cancelled"),"",E97-TODAY())</f>
        <v/>
      </c>
      <c r="G97" s="48" t="str">
        <f aca="true">IF(OR(B97="",C97="Done",C97="Cancelled"),"",IF(AND(E97&lt;&gt;"",E97&lt;TODAY()),"OVERDUE",IF(AND(E97&lt;&gt;"",E97=TODAY()),"DUE TODAY",IF(AND(K97&lt;&gt;"",K97&lt;=TODAY()),"FOLLOW UP",IF(AND(E97&lt;&gt;"",E97&lt;=TODAY()+3),"DUE SOON",IF(E97="","NO DUE DATE",""))))))</f>
        <v/>
      </c>
      <c r="H97" s="45"/>
      <c r="I97" s="46"/>
      <c r="J97" s="45"/>
      <c r="K97" s="47"/>
      <c r="L97" s="47"/>
      <c r="M97" s="47"/>
      <c r="N97" s="45"/>
    </row>
    <row r="98" customFormat="false" ht="18" hidden="false" customHeight="true" outlineLevel="0" collapsed="false">
      <c r="A98" s="44" t="str">
        <f aca="false">IF(B98="","",ROW()-4)</f>
        <v/>
      </c>
      <c r="B98" s="45"/>
      <c r="C98" s="46"/>
      <c r="D98" s="46"/>
      <c r="E98" s="47"/>
      <c r="F98" s="44" t="str">
        <f aca="true">IF(OR(B98="",E98="",C98="Done",C98="Cancelled"),"",E98-TODAY())</f>
        <v/>
      </c>
      <c r="G98" s="48" t="str">
        <f aca="true">IF(OR(B98="",C98="Done",C98="Cancelled"),"",IF(AND(E98&lt;&gt;"",E98&lt;TODAY()),"OVERDUE",IF(AND(E98&lt;&gt;"",E98=TODAY()),"DUE TODAY",IF(AND(K98&lt;&gt;"",K98&lt;=TODAY()),"FOLLOW UP",IF(AND(E98&lt;&gt;"",E98&lt;=TODAY()+3),"DUE SOON",IF(E98="","NO DUE DATE",""))))))</f>
        <v/>
      </c>
      <c r="H98" s="45"/>
      <c r="I98" s="46"/>
      <c r="J98" s="45"/>
      <c r="K98" s="47"/>
      <c r="L98" s="47"/>
      <c r="M98" s="47"/>
      <c r="N98" s="45"/>
    </row>
    <row r="99" customFormat="false" ht="18" hidden="false" customHeight="true" outlineLevel="0" collapsed="false">
      <c r="A99" s="44" t="str">
        <f aca="false">IF(B99="","",ROW()-4)</f>
        <v/>
      </c>
      <c r="B99" s="45"/>
      <c r="C99" s="46"/>
      <c r="D99" s="46"/>
      <c r="E99" s="47"/>
      <c r="F99" s="44" t="str">
        <f aca="true">IF(OR(B99="",E99="",C99="Done",C99="Cancelled"),"",E99-TODAY())</f>
        <v/>
      </c>
      <c r="G99" s="48" t="str">
        <f aca="true">IF(OR(B99="",C99="Done",C99="Cancelled"),"",IF(AND(E99&lt;&gt;"",E99&lt;TODAY()),"OVERDUE",IF(AND(E99&lt;&gt;"",E99=TODAY()),"DUE TODAY",IF(AND(K99&lt;&gt;"",K99&lt;=TODAY()),"FOLLOW UP",IF(AND(E99&lt;&gt;"",E99&lt;=TODAY()+3),"DUE SOON",IF(E99="","NO DUE DATE",""))))))</f>
        <v/>
      </c>
      <c r="H99" s="45"/>
      <c r="I99" s="46"/>
      <c r="J99" s="45"/>
      <c r="K99" s="47"/>
      <c r="L99" s="47"/>
      <c r="M99" s="47"/>
      <c r="N99" s="45"/>
    </row>
    <row r="100" customFormat="false" ht="18" hidden="false" customHeight="true" outlineLevel="0" collapsed="false">
      <c r="A100" s="44" t="str">
        <f aca="false">IF(B100="","",ROW()-4)</f>
        <v/>
      </c>
      <c r="B100" s="45"/>
      <c r="C100" s="46"/>
      <c r="D100" s="46"/>
      <c r="E100" s="47"/>
      <c r="F100" s="44" t="str">
        <f aca="true">IF(OR(B100="",E100="",C100="Done",C100="Cancelled"),"",E100-TODAY())</f>
        <v/>
      </c>
      <c r="G100" s="48" t="str">
        <f aca="true">IF(OR(B100="",C100="Done",C100="Cancelled"),"",IF(AND(E100&lt;&gt;"",E100&lt;TODAY()),"OVERDUE",IF(AND(E100&lt;&gt;"",E100=TODAY()),"DUE TODAY",IF(AND(K100&lt;&gt;"",K100&lt;=TODAY()),"FOLLOW UP",IF(AND(E100&lt;&gt;"",E100&lt;=TODAY()+3),"DUE SOON",IF(E100="","NO DUE DATE",""))))))</f>
        <v/>
      </c>
      <c r="H100" s="45"/>
      <c r="I100" s="46"/>
      <c r="J100" s="45"/>
      <c r="K100" s="47"/>
      <c r="L100" s="47"/>
      <c r="M100" s="47"/>
      <c r="N100" s="45"/>
    </row>
    <row r="101" customFormat="false" ht="18" hidden="false" customHeight="true" outlineLevel="0" collapsed="false">
      <c r="A101" s="44" t="str">
        <f aca="false">IF(B101="","",ROW()-4)</f>
        <v/>
      </c>
      <c r="B101" s="45"/>
      <c r="C101" s="46"/>
      <c r="D101" s="46"/>
      <c r="E101" s="47"/>
      <c r="F101" s="44" t="str">
        <f aca="true">IF(OR(B101="",E101="",C101="Done",C101="Cancelled"),"",E101-TODAY())</f>
        <v/>
      </c>
      <c r="G101" s="48" t="str">
        <f aca="true">IF(OR(B101="",C101="Done",C101="Cancelled"),"",IF(AND(E101&lt;&gt;"",E101&lt;TODAY()),"OVERDUE",IF(AND(E101&lt;&gt;"",E101=TODAY()),"DUE TODAY",IF(AND(K101&lt;&gt;"",K101&lt;=TODAY()),"FOLLOW UP",IF(AND(E101&lt;&gt;"",E101&lt;=TODAY()+3),"DUE SOON",IF(E101="","NO DUE DATE",""))))))</f>
        <v/>
      </c>
      <c r="H101" s="45"/>
      <c r="I101" s="46"/>
      <c r="J101" s="45"/>
      <c r="K101" s="47"/>
      <c r="L101" s="47"/>
      <c r="M101" s="47"/>
      <c r="N101" s="45"/>
    </row>
    <row r="102" customFormat="false" ht="18" hidden="false" customHeight="true" outlineLevel="0" collapsed="false">
      <c r="A102" s="44" t="str">
        <f aca="false">IF(B102="","",ROW()-4)</f>
        <v/>
      </c>
      <c r="B102" s="45"/>
      <c r="C102" s="46"/>
      <c r="D102" s="46"/>
      <c r="E102" s="47"/>
      <c r="F102" s="44" t="str">
        <f aca="true">IF(OR(B102="",E102="",C102="Done",C102="Cancelled"),"",E102-TODAY())</f>
        <v/>
      </c>
      <c r="G102" s="48" t="str">
        <f aca="true">IF(OR(B102="",C102="Done",C102="Cancelled"),"",IF(AND(E102&lt;&gt;"",E102&lt;TODAY()),"OVERDUE",IF(AND(E102&lt;&gt;"",E102=TODAY()),"DUE TODAY",IF(AND(K102&lt;&gt;"",K102&lt;=TODAY()),"FOLLOW UP",IF(AND(E102&lt;&gt;"",E102&lt;=TODAY()+3),"DUE SOON",IF(E102="","NO DUE DATE",""))))))</f>
        <v/>
      </c>
      <c r="H102" s="45"/>
      <c r="I102" s="46"/>
      <c r="J102" s="45"/>
      <c r="K102" s="47"/>
      <c r="L102" s="47"/>
      <c r="M102" s="47"/>
      <c r="N102" s="45"/>
    </row>
    <row r="103" customFormat="false" ht="18" hidden="false" customHeight="true" outlineLevel="0" collapsed="false">
      <c r="A103" s="44" t="str">
        <f aca="false">IF(B103="","",ROW()-4)</f>
        <v/>
      </c>
      <c r="B103" s="45"/>
      <c r="C103" s="46"/>
      <c r="D103" s="46"/>
      <c r="E103" s="47"/>
      <c r="F103" s="44" t="str">
        <f aca="true">IF(OR(B103="",E103="",C103="Done",C103="Cancelled"),"",E103-TODAY())</f>
        <v/>
      </c>
      <c r="G103" s="48" t="str">
        <f aca="true">IF(OR(B103="",C103="Done",C103="Cancelled"),"",IF(AND(E103&lt;&gt;"",E103&lt;TODAY()),"OVERDUE",IF(AND(E103&lt;&gt;"",E103=TODAY()),"DUE TODAY",IF(AND(K103&lt;&gt;"",K103&lt;=TODAY()),"FOLLOW UP",IF(AND(E103&lt;&gt;"",E103&lt;=TODAY()+3),"DUE SOON",IF(E103="","NO DUE DATE",""))))))</f>
        <v/>
      </c>
      <c r="H103" s="45"/>
      <c r="I103" s="46"/>
      <c r="J103" s="45"/>
      <c r="K103" s="47"/>
      <c r="L103" s="47"/>
      <c r="M103" s="47"/>
      <c r="N103" s="45"/>
    </row>
    <row r="104" customFormat="false" ht="18" hidden="false" customHeight="true" outlineLevel="0" collapsed="false">
      <c r="A104" s="44" t="str">
        <f aca="false">IF(B104="","",ROW()-4)</f>
        <v/>
      </c>
      <c r="B104" s="45"/>
      <c r="C104" s="46"/>
      <c r="D104" s="46"/>
      <c r="E104" s="47"/>
      <c r="F104" s="44" t="str">
        <f aca="true">IF(OR(B104="",E104="",C104="Done",C104="Cancelled"),"",E104-TODAY())</f>
        <v/>
      </c>
      <c r="G104" s="48" t="str">
        <f aca="true">IF(OR(B104="",C104="Done",C104="Cancelled"),"",IF(AND(E104&lt;&gt;"",E104&lt;TODAY()),"OVERDUE",IF(AND(E104&lt;&gt;"",E104=TODAY()),"DUE TODAY",IF(AND(K104&lt;&gt;"",K104&lt;=TODAY()),"FOLLOW UP",IF(AND(E104&lt;&gt;"",E104&lt;=TODAY()+3),"DUE SOON",IF(E104="","NO DUE DATE",""))))))</f>
        <v/>
      </c>
      <c r="H104" s="45"/>
      <c r="I104" s="46"/>
      <c r="J104" s="45"/>
      <c r="K104" s="47"/>
      <c r="L104" s="47"/>
      <c r="M104" s="47"/>
      <c r="N104" s="45"/>
    </row>
    <row r="105" customFormat="false" ht="18" hidden="false" customHeight="true" outlineLevel="0" collapsed="false">
      <c r="A105" s="44" t="str">
        <f aca="false">IF(B105="","",ROW()-4)</f>
        <v/>
      </c>
      <c r="B105" s="45"/>
      <c r="C105" s="46"/>
      <c r="D105" s="46"/>
      <c r="E105" s="47"/>
      <c r="F105" s="44" t="str">
        <f aca="true">IF(OR(B105="",E105="",C105="Done",C105="Cancelled"),"",E105-TODAY())</f>
        <v/>
      </c>
      <c r="G105" s="48" t="str">
        <f aca="true">IF(OR(B105="",C105="Done",C105="Cancelled"),"",IF(AND(E105&lt;&gt;"",E105&lt;TODAY()),"OVERDUE",IF(AND(E105&lt;&gt;"",E105=TODAY()),"DUE TODAY",IF(AND(K105&lt;&gt;"",K105&lt;=TODAY()),"FOLLOW UP",IF(AND(E105&lt;&gt;"",E105&lt;=TODAY()+3),"DUE SOON",IF(E105="","NO DUE DATE",""))))))</f>
        <v/>
      </c>
      <c r="H105" s="45"/>
      <c r="I105" s="46"/>
      <c r="J105" s="45"/>
      <c r="K105" s="47"/>
      <c r="L105" s="47"/>
      <c r="M105" s="47"/>
      <c r="N105" s="45"/>
    </row>
    <row r="106" customFormat="false" ht="18" hidden="false" customHeight="true" outlineLevel="0" collapsed="false">
      <c r="A106" s="44" t="str">
        <f aca="false">IF(B106="","",ROW()-4)</f>
        <v/>
      </c>
      <c r="B106" s="45"/>
      <c r="C106" s="46"/>
      <c r="D106" s="46"/>
      <c r="E106" s="47"/>
      <c r="F106" s="44" t="str">
        <f aca="true">IF(OR(B106="",E106="",C106="Done",C106="Cancelled"),"",E106-TODAY())</f>
        <v/>
      </c>
      <c r="G106" s="48" t="str">
        <f aca="true">IF(OR(B106="",C106="Done",C106="Cancelled"),"",IF(AND(E106&lt;&gt;"",E106&lt;TODAY()),"OVERDUE",IF(AND(E106&lt;&gt;"",E106=TODAY()),"DUE TODAY",IF(AND(K106&lt;&gt;"",K106&lt;=TODAY()),"FOLLOW UP",IF(AND(E106&lt;&gt;"",E106&lt;=TODAY()+3),"DUE SOON",IF(E106="","NO DUE DATE",""))))))</f>
        <v/>
      </c>
      <c r="H106" s="45"/>
      <c r="I106" s="46"/>
      <c r="J106" s="45"/>
      <c r="K106" s="47"/>
      <c r="L106" s="47"/>
      <c r="M106" s="47"/>
      <c r="N106" s="45"/>
    </row>
    <row r="107" customFormat="false" ht="18" hidden="false" customHeight="true" outlineLevel="0" collapsed="false">
      <c r="A107" s="44" t="str">
        <f aca="false">IF(B107="","",ROW()-4)</f>
        <v/>
      </c>
      <c r="B107" s="45"/>
      <c r="C107" s="46"/>
      <c r="D107" s="46"/>
      <c r="E107" s="47"/>
      <c r="F107" s="44" t="str">
        <f aca="true">IF(OR(B107="",E107="",C107="Done",C107="Cancelled"),"",E107-TODAY())</f>
        <v/>
      </c>
      <c r="G107" s="48" t="str">
        <f aca="true">IF(OR(B107="",C107="Done",C107="Cancelled"),"",IF(AND(E107&lt;&gt;"",E107&lt;TODAY()),"OVERDUE",IF(AND(E107&lt;&gt;"",E107=TODAY()),"DUE TODAY",IF(AND(K107&lt;&gt;"",K107&lt;=TODAY()),"FOLLOW UP",IF(AND(E107&lt;&gt;"",E107&lt;=TODAY()+3),"DUE SOON",IF(E107="","NO DUE DATE",""))))))</f>
        <v/>
      </c>
      <c r="H107" s="45"/>
      <c r="I107" s="46"/>
      <c r="J107" s="45"/>
      <c r="K107" s="47"/>
      <c r="L107" s="47"/>
      <c r="M107" s="47"/>
      <c r="N107" s="45"/>
    </row>
    <row r="108" customFormat="false" ht="18" hidden="false" customHeight="true" outlineLevel="0" collapsed="false">
      <c r="A108" s="44" t="str">
        <f aca="false">IF(B108="","",ROW()-4)</f>
        <v/>
      </c>
      <c r="B108" s="45"/>
      <c r="C108" s="46"/>
      <c r="D108" s="46"/>
      <c r="E108" s="47"/>
      <c r="F108" s="44" t="str">
        <f aca="true">IF(OR(B108="",E108="",C108="Done",C108="Cancelled"),"",E108-TODAY())</f>
        <v/>
      </c>
      <c r="G108" s="48" t="str">
        <f aca="true">IF(OR(B108="",C108="Done",C108="Cancelled"),"",IF(AND(E108&lt;&gt;"",E108&lt;TODAY()),"OVERDUE",IF(AND(E108&lt;&gt;"",E108=TODAY()),"DUE TODAY",IF(AND(K108&lt;&gt;"",K108&lt;=TODAY()),"FOLLOW UP",IF(AND(E108&lt;&gt;"",E108&lt;=TODAY()+3),"DUE SOON",IF(E108="","NO DUE DATE",""))))))</f>
        <v/>
      </c>
      <c r="H108" s="45"/>
      <c r="I108" s="46"/>
      <c r="J108" s="45"/>
      <c r="K108" s="47"/>
      <c r="L108" s="47"/>
      <c r="M108" s="47"/>
      <c r="N108" s="45"/>
    </row>
    <row r="109" customFormat="false" ht="18" hidden="false" customHeight="true" outlineLevel="0" collapsed="false">
      <c r="A109" s="44" t="str">
        <f aca="false">IF(B109="","",ROW()-4)</f>
        <v/>
      </c>
      <c r="B109" s="45"/>
      <c r="C109" s="46"/>
      <c r="D109" s="46"/>
      <c r="E109" s="47"/>
      <c r="F109" s="44" t="str">
        <f aca="true">IF(OR(B109="",E109="",C109="Done",C109="Cancelled"),"",E109-TODAY())</f>
        <v/>
      </c>
      <c r="G109" s="48" t="str">
        <f aca="true">IF(OR(B109="",C109="Done",C109="Cancelled"),"",IF(AND(E109&lt;&gt;"",E109&lt;TODAY()),"OVERDUE",IF(AND(E109&lt;&gt;"",E109=TODAY()),"DUE TODAY",IF(AND(K109&lt;&gt;"",K109&lt;=TODAY()),"FOLLOW UP",IF(AND(E109&lt;&gt;"",E109&lt;=TODAY()+3),"DUE SOON",IF(E109="","NO DUE DATE",""))))))</f>
        <v/>
      </c>
      <c r="H109" s="45"/>
      <c r="I109" s="46"/>
      <c r="J109" s="45"/>
      <c r="K109" s="47"/>
      <c r="L109" s="47"/>
      <c r="M109" s="47"/>
      <c r="N109" s="45"/>
    </row>
    <row r="110" customFormat="false" ht="18" hidden="false" customHeight="true" outlineLevel="0" collapsed="false">
      <c r="A110" s="44" t="str">
        <f aca="false">IF(B110="","",ROW()-4)</f>
        <v/>
      </c>
      <c r="B110" s="45"/>
      <c r="C110" s="46"/>
      <c r="D110" s="46"/>
      <c r="E110" s="47"/>
      <c r="F110" s="44" t="str">
        <f aca="true">IF(OR(B110="",E110="",C110="Done",C110="Cancelled"),"",E110-TODAY())</f>
        <v/>
      </c>
      <c r="G110" s="48" t="str">
        <f aca="true">IF(OR(B110="",C110="Done",C110="Cancelled"),"",IF(AND(E110&lt;&gt;"",E110&lt;TODAY()),"OVERDUE",IF(AND(E110&lt;&gt;"",E110=TODAY()),"DUE TODAY",IF(AND(K110&lt;&gt;"",K110&lt;=TODAY()),"FOLLOW UP",IF(AND(E110&lt;&gt;"",E110&lt;=TODAY()+3),"DUE SOON",IF(E110="","NO DUE DATE",""))))))</f>
        <v/>
      </c>
      <c r="H110" s="45"/>
      <c r="I110" s="46"/>
      <c r="J110" s="45"/>
      <c r="K110" s="47"/>
      <c r="L110" s="47"/>
      <c r="M110" s="47"/>
      <c r="N110" s="45"/>
    </row>
    <row r="111" customFormat="false" ht="18" hidden="false" customHeight="true" outlineLevel="0" collapsed="false">
      <c r="A111" s="44" t="str">
        <f aca="false">IF(B111="","",ROW()-4)</f>
        <v/>
      </c>
      <c r="B111" s="45"/>
      <c r="C111" s="46"/>
      <c r="D111" s="46"/>
      <c r="E111" s="47"/>
      <c r="F111" s="44" t="str">
        <f aca="true">IF(OR(B111="",E111="",C111="Done",C111="Cancelled"),"",E111-TODAY())</f>
        <v/>
      </c>
      <c r="G111" s="48" t="str">
        <f aca="true">IF(OR(B111="",C111="Done",C111="Cancelled"),"",IF(AND(E111&lt;&gt;"",E111&lt;TODAY()),"OVERDUE",IF(AND(E111&lt;&gt;"",E111=TODAY()),"DUE TODAY",IF(AND(K111&lt;&gt;"",K111&lt;=TODAY()),"FOLLOW UP",IF(AND(E111&lt;&gt;"",E111&lt;=TODAY()+3),"DUE SOON",IF(E111="","NO DUE DATE",""))))))</f>
        <v/>
      </c>
      <c r="H111" s="45"/>
      <c r="I111" s="46"/>
      <c r="J111" s="45"/>
      <c r="K111" s="47"/>
      <c r="L111" s="47"/>
      <c r="M111" s="47"/>
      <c r="N111" s="45"/>
    </row>
    <row r="112" customFormat="false" ht="18" hidden="false" customHeight="true" outlineLevel="0" collapsed="false">
      <c r="A112" s="44" t="str">
        <f aca="false">IF(B112="","",ROW()-4)</f>
        <v/>
      </c>
      <c r="B112" s="45"/>
      <c r="C112" s="46"/>
      <c r="D112" s="46"/>
      <c r="E112" s="47"/>
      <c r="F112" s="44" t="str">
        <f aca="true">IF(OR(B112="",E112="",C112="Done",C112="Cancelled"),"",E112-TODAY())</f>
        <v/>
      </c>
      <c r="G112" s="48" t="str">
        <f aca="true">IF(OR(B112="",C112="Done",C112="Cancelled"),"",IF(AND(E112&lt;&gt;"",E112&lt;TODAY()),"OVERDUE",IF(AND(E112&lt;&gt;"",E112=TODAY()),"DUE TODAY",IF(AND(K112&lt;&gt;"",K112&lt;=TODAY()),"FOLLOW UP",IF(AND(E112&lt;&gt;"",E112&lt;=TODAY()+3),"DUE SOON",IF(E112="","NO DUE DATE",""))))))</f>
        <v/>
      </c>
      <c r="H112" s="45"/>
      <c r="I112" s="46"/>
      <c r="J112" s="45"/>
      <c r="K112" s="47"/>
      <c r="L112" s="47"/>
      <c r="M112" s="47"/>
      <c r="N112" s="45"/>
    </row>
    <row r="113" customFormat="false" ht="18" hidden="false" customHeight="true" outlineLevel="0" collapsed="false">
      <c r="A113" s="44" t="str">
        <f aca="false">IF(B113="","",ROW()-4)</f>
        <v/>
      </c>
      <c r="B113" s="45"/>
      <c r="C113" s="46"/>
      <c r="D113" s="46"/>
      <c r="E113" s="47"/>
      <c r="F113" s="44" t="str">
        <f aca="true">IF(OR(B113="",E113="",C113="Done",C113="Cancelled"),"",E113-TODAY())</f>
        <v/>
      </c>
      <c r="G113" s="48" t="str">
        <f aca="true">IF(OR(B113="",C113="Done",C113="Cancelled"),"",IF(AND(E113&lt;&gt;"",E113&lt;TODAY()),"OVERDUE",IF(AND(E113&lt;&gt;"",E113=TODAY()),"DUE TODAY",IF(AND(K113&lt;&gt;"",K113&lt;=TODAY()),"FOLLOW UP",IF(AND(E113&lt;&gt;"",E113&lt;=TODAY()+3),"DUE SOON",IF(E113="","NO DUE DATE",""))))))</f>
        <v/>
      </c>
      <c r="H113" s="45"/>
      <c r="I113" s="46"/>
      <c r="J113" s="45"/>
      <c r="K113" s="47"/>
      <c r="L113" s="47"/>
      <c r="M113" s="47"/>
      <c r="N113" s="45"/>
    </row>
    <row r="114" customFormat="false" ht="18" hidden="false" customHeight="true" outlineLevel="0" collapsed="false">
      <c r="A114" s="44" t="str">
        <f aca="false">IF(B114="","",ROW()-4)</f>
        <v/>
      </c>
      <c r="B114" s="45"/>
      <c r="C114" s="46"/>
      <c r="D114" s="46"/>
      <c r="E114" s="47"/>
      <c r="F114" s="44" t="str">
        <f aca="true">IF(OR(B114="",E114="",C114="Done",C114="Cancelled"),"",E114-TODAY())</f>
        <v/>
      </c>
      <c r="G114" s="48" t="str">
        <f aca="true">IF(OR(B114="",C114="Done",C114="Cancelled"),"",IF(AND(E114&lt;&gt;"",E114&lt;TODAY()),"OVERDUE",IF(AND(E114&lt;&gt;"",E114=TODAY()),"DUE TODAY",IF(AND(K114&lt;&gt;"",K114&lt;=TODAY()),"FOLLOW UP",IF(AND(E114&lt;&gt;"",E114&lt;=TODAY()+3),"DUE SOON",IF(E114="","NO DUE DATE",""))))))</f>
        <v/>
      </c>
      <c r="H114" s="45"/>
      <c r="I114" s="46"/>
      <c r="J114" s="45"/>
      <c r="K114" s="47"/>
      <c r="L114" s="47"/>
      <c r="M114" s="47"/>
      <c r="N114" s="45"/>
    </row>
    <row r="115" customFormat="false" ht="18" hidden="false" customHeight="true" outlineLevel="0" collapsed="false">
      <c r="A115" s="44" t="str">
        <f aca="false">IF(B115="","",ROW()-4)</f>
        <v/>
      </c>
      <c r="B115" s="45"/>
      <c r="C115" s="46"/>
      <c r="D115" s="46"/>
      <c r="E115" s="47"/>
      <c r="F115" s="44" t="str">
        <f aca="true">IF(OR(B115="",E115="",C115="Done",C115="Cancelled"),"",E115-TODAY())</f>
        <v/>
      </c>
      <c r="G115" s="48" t="str">
        <f aca="true">IF(OR(B115="",C115="Done",C115="Cancelled"),"",IF(AND(E115&lt;&gt;"",E115&lt;TODAY()),"OVERDUE",IF(AND(E115&lt;&gt;"",E115=TODAY()),"DUE TODAY",IF(AND(K115&lt;&gt;"",K115&lt;=TODAY()),"FOLLOW UP",IF(AND(E115&lt;&gt;"",E115&lt;=TODAY()+3),"DUE SOON",IF(E115="","NO DUE DATE",""))))))</f>
        <v/>
      </c>
      <c r="H115" s="45"/>
      <c r="I115" s="46"/>
      <c r="J115" s="45"/>
      <c r="K115" s="47"/>
      <c r="L115" s="47"/>
      <c r="M115" s="47"/>
      <c r="N115" s="45"/>
    </row>
    <row r="116" customFormat="false" ht="18" hidden="false" customHeight="true" outlineLevel="0" collapsed="false">
      <c r="A116" s="44" t="str">
        <f aca="false">IF(B116="","",ROW()-4)</f>
        <v/>
      </c>
      <c r="B116" s="45"/>
      <c r="C116" s="46"/>
      <c r="D116" s="46"/>
      <c r="E116" s="47"/>
      <c r="F116" s="44" t="str">
        <f aca="true">IF(OR(B116="",E116="",C116="Done",C116="Cancelled"),"",E116-TODAY())</f>
        <v/>
      </c>
      <c r="G116" s="48" t="str">
        <f aca="true">IF(OR(B116="",C116="Done",C116="Cancelled"),"",IF(AND(E116&lt;&gt;"",E116&lt;TODAY()),"OVERDUE",IF(AND(E116&lt;&gt;"",E116=TODAY()),"DUE TODAY",IF(AND(K116&lt;&gt;"",K116&lt;=TODAY()),"FOLLOW UP",IF(AND(E116&lt;&gt;"",E116&lt;=TODAY()+3),"DUE SOON",IF(E116="","NO DUE DATE",""))))))</f>
        <v/>
      </c>
      <c r="H116" s="45"/>
      <c r="I116" s="46"/>
      <c r="J116" s="45"/>
      <c r="K116" s="47"/>
      <c r="L116" s="47"/>
      <c r="M116" s="47"/>
      <c r="N116" s="45"/>
    </row>
    <row r="117" customFormat="false" ht="18" hidden="false" customHeight="true" outlineLevel="0" collapsed="false">
      <c r="A117" s="44" t="str">
        <f aca="false">IF(B117="","",ROW()-4)</f>
        <v/>
      </c>
      <c r="B117" s="45"/>
      <c r="C117" s="46"/>
      <c r="D117" s="46"/>
      <c r="E117" s="47"/>
      <c r="F117" s="44" t="str">
        <f aca="true">IF(OR(B117="",E117="",C117="Done",C117="Cancelled"),"",E117-TODAY())</f>
        <v/>
      </c>
      <c r="G117" s="48" t="str">
        <f aca="true">IF(OR(B117="",C117="Done",C117="Cancelled"),"",IF(AND(E117&lt;&gt;"",E117&lt;TODAY()),"OVERDUE",IF(AND(E117&lt;&gt;"",E117=TODAY()),"DUE TODAY",IF(AND(K117&lt;&gt;"",K117&lt;=TODAY()),"FOLLOW UP",IF(AND(E117&lt;&gt;"",E117&lt;=TODAY()+3),"DUE SOON",IF(E117="","NO DUE DATE",""))))))</f>
        <v/>
      </c>
      <c r="H117" s="45"/>
      <c r="I117" s="46"/>
      <c r="J117" s="45"/>
      <c r="K117" s="47"/>
      <c r="L117" s="47"/>
      <c r="M117" s="47"/>
      <c r="N117" s="45"/>
    </row>
    <row r="118" customFormat="false" ht="18" hidden="false" customHeight="true" outlineLevel="0" collapsed="false">
      <c r="A118" s="44" t="str">
        <f aca="false">IF(B118="","",ROW()-4)</f>
        <v/>
      </c>
      <c r="B118" s="45"/>
      <c r="C118" s="46"/>
      <c r="D118" s="46"/>
      <c r="E118" s="47"/>
      <c r="F118" s="44" t="str">
        <f aca="true">IF(OR(B118="",E118="",C118="Done",C118="Cancelled"),"",E118-TODAY())</f>
        <v/>
      </c>
      <c r="G118" s="48" t="str">
        <f aca="true">IF(OR(B118="",C118="Done",C118="Cancelled"),"",IF(AND(E118&lt;&gt;"",E118&lt;TODAY()),"OVERDUE",IF(AND(E118&lt;&gt;"",E118=TODAY()),"DUE TODAY",IF(AND(K118&lt;&gt;"",K118&lt;=TODAY()),"FOLLOW UP",IF(AND(E118&lt;&gt;"",E118&lt;=TODAY()+3),"DUE SOON",IF(E118="","NO DUE DATE",""))))))</f>
        <v/>
      </c>
      <c r="H118" s="45"/>
      <c r="I118" s="46"/>
      <c r="J118" s="45"/>
      <c r="K118" s="47"/>
      <c r="L118" s="47"/>
      <c r="M118" s="47"/>
      <c r="N118" s="45"/>
    </row>
    <row r="119" customFormat="false" ht="18" hidden="false" customHeight="true" outlineLevel="0" collapsed="false">
      <c r="A119" s="44" t="str">
        <f aca="false">IF(B119="","",ROW()-4)</f>
        <v/>
      </c>
      <c r="B119" s="45"/>
      <c r="C119" s="46"/>
      <c r="D119" s="46"/>
      <c r="E119" s="47"/>
      <c r="F119" s="44" t="str">
        <f aca="true">IF(OR(B119="",E119="",C119="Done",C119="Cancelled"),"",E119-TODAY())</f>
        <v/>
      </c>
      <c r="G119" s="48" t="str">
        <f aca="true">IF(OR(B119="",C119="Done",C119="Cancelled"),"",IF(AND(E119&lt;&gt;"",E119&lt;TODAY()),"OVERDUE",IF(AND(E119&lt;&gt;"",E119=TODAY()),"DUE TODAY",IF(AND(K119&lt;&gt;"",K119&lt;=TODAY()),"FOLLOW UP",IF(AND(E119&lt;&gt;"",E119&lt;=TODAY()+3),"DUE SOON",IF(E119="","NO DUE DATE",""))))))</f>
        <v/>
      </c>
      <c r="H119" s="45"/>
      <c r="I119" s="46"/>
      <c r="J119" s="45"/>
      <c r="K119" s="47"/>
      <c r="L119" s="47"/>
      <c r="M119" s="47"/>
      <c r="N119" s="45"/>
    </row>
    <row r="120" customFormat="false" ht="18" hidden="false" customHeight="true" outlineLevel="0" collapsed="false">
      <c r="A120" s="44" t="str">
        <f aca="false">IF(B120="","",ROW()-4)</f>
        <v/>
      </c>
      <c r="B120" s="45"/>
      <c r="C120" s="46"/>
      <c r="D120" s="46"/>
      <c r="E120" s="47"/>
      <c r="F120" s="44" t="str">
        <f aca="true">IF(OR(B120="",E120="",C120="Done",C120="Cancelled"),"",E120-TODAY())</f>
        <v/>
      </c>
      <c r="G120" s="48" t="str">
        <f aca="true">IF(OR(B120="",C120="Done",C120="Cancelled"),"",IF(AND(E120&lt;&gt;"",E120&lt;TODAY()),"OVERDUE",IF(AND(E120&lt;&gt;"",E120=TODAY()),"DUE TODAY",IF(AND(K120&lt;&gt;"",K120&lt;=TODAY()),"FOLLOW UP",IF(AND(E120&lt;&gt;"",E120&lt;=TODAY()+3),"DUE SOON",IF(E120="","NO DUE DATE",""))))))</f>
        <v/>
      </c>
      <c r="H120" s="45"/>
      <c r="I120" s="46"/>
      <c r="J120" s="45"/>
      <c r="K120" s="47"/>
      <c r="L120" s="47"/>
      <c r="M120" s="47"/>
      <c r="N120" s="45"/>
    </row>
    <row r="121" customFormat="false" ht="18" hidden="false" customHeight="true" outlineLevel="0" collapsed="false">
      <c r="A121" s="44" t="str">
        <f aca="false">IF(B121="","",ROW()-4)</f>
        <v/>
      </c>
      <c r="B121" s="45"/>
      <c r="C121" s="46"/>
      <c r="D121" s="46"/>
      <c r="E121" s="47"/>
      <c r="F121" s="44" t="str">
        <f aca="true">IF(OR(B121="",E121="",C121="Done",C121="Cancelled"),"",E121-TODAY())</f>
        <v/>
      </c>
      <c r="G121" s="48" t="str">
        <f aca="true">IF(OR(B121="",C121="Done",C121="Cancelled"),"",IF(AND(E121&lt;&gt;"",E121&lt;TODAY()),"OVERDUE",IF(AND(E121&lt;&gt;"",E121=TODAY()),"DUE TODAY",IF(AND(K121&lt;&gt;"",K121&lt;=TODAY()),"FOLLOW UP",IF(AND(E121&lt;&gt;"",E121&lt;=TODAY()+3),"DUE SOON",IF(E121="","NO DUE DATE",""))))))</f>
        <v/>
      </c>
      <c r="H121" s="45"/>
      <c r="I121" s="46"/>
      <c r="J121" s="45"/>
      <c r="K121" s="47"/>
      <c r="L121" s="47"/>
      <c r="M121" s="47"/>
      <c r="N121" s="45"/>
    </row>
    <row r="122" customFormat="false" ht="18" hidden="false" customHeight="true" outlineLevel="0" collapsed="false">
      <c r="A122" s="44" t="str">
        <f aca="false">IF(B122="","",ROW()-4)</f>
        <v/>
      </c>
      <c r="B122" s="45"/>
      <c r="C122" s="46"/>
      <c r="D122" s="46"/>
      <c r="E122" s="47"/>
      <c r="F122" s="44" t="str">
        <f aca="true">IF(OR(B122="",E122="",C122="Done",C122="Cancelled"),"",E122-TODAY())</f>
        <v/>
      </c>
      <c r="G122" s="48" t="str">
        <f aca="true">IF(OR(B122="",C122="Done",C122="Cancelled"),"",IF(AND(E122&lt;&gt;"",E122&lt;TODAY()),"OVERDUE",IF(AND(E122&lt;&gt;"",E122=TODAY()),"DUE TODAY",IF(AND(K122&lt;&gt;"",K122&lt;=TODAY()),"FOLLOW UP",IF(AND(E122&lt;&gt;"",E122&lt;=TODAY()+3),"DUE SOON",IF(E122="","NO DUE DATE",""))))))</f>
        <v/>
      </c>
      <c r="H122" s="45"/>
      <c r="I122" s="46"/>
      <c r="J122" s="45"/>
      <c r="K122" s="47"/>
      <c r="L122" s="47"/>
      <c r="M122" s="47"/>
      <c r="N122" s="45"/>
    </row>
    <row r="123" customFormat="false" ht="18" hidden="false" customHeight="true" outlineLevel="0" collapsed="false">
      <c r="A123" s="44" t="str">
        <f aca="false">IF(B123="","",ROW()-4)</f>
        <v/>
      </c>
      <c r="B123" s="45"/>
      <c r="C123" s="46"/>
      <c r="D123" s="46"/>
      <c r="E123" s="47"/>
      <c r="F123" s="44" t="str">
        <f aca="true">IF(OR(B123="",E123="",C123="Done",C123="Cancelled"),"",E123-TODAY())</f>
        <v/>
      </c>
      <c r="G123" s="48" t="str">
        <f aca="true">IF(OR(B123="",C123="Done",C123="Cancelled"),"",IF(AND(E123&lt;&gt;"",E123&lt;TODAY()),"OVERDUE",IF(AND(E123&lt;&gt;"",E123=TODAY()),"DUE TODAY",IF(AND(K123&lt;&gt;"",K123&lt;=TODAY()),"FOLLOW UP",IF(AND(E123&lt;&gt;"",E123&lt;=TODAY()+3),"DUE SOON",IF(E123="","NO DUE DATE",""))))))</f>
        <v/>
      </c>
      <c r="H123" s="45"/>
      <c r="I123" s="46"/>
      <c r="J123" s="45"/>
      <c r="K123" s="47"/>
      <c r="L123" s="47"/>
      <c r="M123" s="47"/>
      <c r="N123" s="45"/>
    </row>
    <row r="124" customFormat="false" ht="18" hidden="false" customHeight="true" outlineLevel="0" collapsed="false">
      <c r="A124" s="44" t="str">
        <f aca="false">IF(B124="","",ROW()-4)</f>
        <v/>
      </c>
      <c r="B124" s="45"/>
      <c r="C124" s="46"/>
      <c r="D124" s="46"/>
      <c r="E124" s="47"/>
      <c r="F124" s="44" t="str">
        <f aca="true">IF(OR(B124="",E124="",C124="Done",C124="Cancelled"),"",E124-TODAY())</f>
        <v/>
      </c>
      <c r="G124" s="48" t="str">
        <f aca="true">IF(OR(B124="",C124="Done",C124="Cancelled"),"",IF(AND(E124&lt;&gt;"",E124&lt;TODAY()),"OVERDUE",IF(AND(E124&lt;&gt;"",E124=TODAY()),"DUE TODAY",IF(AND(K124&lt;&gt;"",K124&lt;=TODAY()),"FOLLOW UP",IF(AND(E124&lt;&gt;"",E124&lt;=TODAY()+3),"DUE SOON",IF(E124="","NO DUE DATE",""))))))</f>
        <v/>
      </c>
      <c r="H124" s="45"/>
      <c r="I124" s="46"/>
      <c r="J124" s="45"/>
      <c r="K124" s="47"/>
      <c r="L124" s="47"/>
      <c r="M124" s="47"/>
      <c r="N124" s="45"/>
    </row>
    <row r="125" customFormat="false" ht="18" hidden="false" customHeight="true" outlineLevel="0" collapsed="false">
      <c r="A125" s="44" t="str">
        <f aca="false">IF(B125="","",ROW()-4)</f>
        <v/>
      </c>
      <c r="B125" s="45"/>
      <c r="C125" s="46"/>
      <c r="D125" s="46"/>
      <c r="E125" s="47"/>
      <c r="F125" s="44" t="str">
        <f aca="true">IF(OR(B125="",E125="",C125="Done",C125="Cancelled"),"",E125-TODAY())</f>
        <v/>
      </c>
      <c r="G125" s="48" t="str">
        <f aca="true">IF(OR(B125="",C125="Done",C125="Cancelled"),"",IF(AND(E125&lt;&gt;"",E125&lt;TODAY()),"OVERDUE",IF(AND(E125&lt;&gt;"",E125=TODAY()),"DUE TODAY",IF(AND(K125&lt;&gt;"",K125&lt;=TODAY()),"FOLLOW UP",IF(AND(E125&lt;&gt;"",E125&lt;=TODAY()+3),"DUE SOON",IF(E125="","NO DUE DATE",""))))))</f>
        <v/>
      </c>
      <c r="H125" s="45"/>
      <c r="I125" s="46"/>
      <c r="J125" s="45"/>
      <c r="K125" s="47"/>
      <c r="L125" s="47"/>
      <c r="M125" s="47"/>
      <c r="N125" s="45"/>
    </row>
    <row r="126" customFormat="false" ht="18" hidden="false" customHeight="true" outlineLevel="0" collapsed="false">
      <c r="A126" s="44" t="str">
        <f aca="false">IF(B126="","",ROW()-4)</f>
        <v/>
      </c>
      <c r="B126" s="45"/>
      <c r="C126" s="46"/>
      <c r="D126" s="46"/>
      <c r="E126" s="47"/>
      <c r="F126" s="44" t="str">
        <f aca="true">IF(OR(B126="",E126="",C126="Done",C126="Cancelled"),"",E126-TODAY())</f>
        <v/>
      </c>
      <c r="G126" s="48" t="str">
        <f aca="true">IF(OR(B126="",C126="Done",C126="Cancelled"),"",IF(AND(E126&lt;&gt;"",E126&lt;TODAY()),"OVERDUE",IF(AND(E126&lt;&gt;"",E126=TODAY()),"DUE TODAY",IF(AND(K126&lt;&gt;"",K126&lt;=TODAY()),"FOLLOW UP",IF(AND(E126&lt;&gt;"",E126&lt;=TODAY()+3),"DUE SOON",IF(E126="","NO DUE DATE",""))))))</f>
        <v/>
      </c>
      <c r="H126" s="45"/>
      <c r="I126" s="46"/>
      <c r="J126" s="45"/>
      <c r="K126" s="47"/>
      <c r="L126" s="47"/>
      <c r="M126" s="47"/>
      <c r="N126" s="45"/>
    </row>
    <row r="127" customFormat="false" ht="18" hidden="false" customHeight="true" outlineLevel="0" collapsed="false">
      <c r="A127" s="44" t="str">
        <f aca="false">IF(B127="","",ROW()-4)</f>
        <v/>
      </c>
      <c r="B127" s="45"/>
      <c r="C127" s="46"/>
      <c r="D127" s="46"/>
      <c r="E127" s="47"/>
      <c r="F127" s="44" t="str">
        <f aca="true">IF(OR(B127="",E127="",C127="Done",C127="Cancelled"),"",E127-TODAY())</f>
        <v/>
      </c>
      <c r="G127" s="48" t="str">
        <f aca="true">IF(OR(B127="",C127="Done",C127="Cancelled"),"",IF(AND(E127&lt;&gt;"",E127&lt;TODAY()),"OVERDUE",IF(AND(E127&lt;&gt;"",E127=TODAY()),"DUE TODAY",IF(AND(K127&lt;&gt;"",K127&lt;=TODAY()),"FOLLOW UP",IF(AND(E127&lt;&gt;"",E127&lt;=TODAY()+3),"DUE SOON",IF(E127="","NO DUE DATE",""))))))</f>
        <v/>
      </c>
      <c r="H127" s="45"/>
      <c r="I127" s="46"/>
      <c r="J127" s="45"/>
      <c r="K127" s="47"/>
      <c r="L127" s="47"/>
      <c r="M127" s="47"/>
      <c r="N127" s="45"/>
    </row>
    <row r="128" customFormat="false" ht="18" hidden="false" customHeight="true" outlineLevel="0" collapsed="false">
      <c r="A128" s="44" t="str">
        <f aca="false">IF(B128="","",ROW()-4)</f>
        <v/>
      </c>
      <c r="B128" s="45"/>
      <c r="C128" s="46"/>
      <c r="D128" s="46"/>
      <c r="E128" s="47"/>
      <c r="F128" s="44" t="str">
        <f aca="true">IF(OR(B128="",E128="",C128="Done",C128="Cancelled"),"",E128-TODAY())</f>
        <v/>
      </c>
      <c r="G128" s="48" t="str">
        <f aca="true">IF(OR(B128="",C128="Done",C128="Cancelled"),"",IF(AND(E128&lt;&gt;"",E128&lt;TODAY()),"OVERDUE",IF(AND(E128&lt;&gt;"",E128=TODAY()),"DUE TODAY",IF(AND(K128&lt;&gt;"",K128&lt;=TODAY()),"FOLLOW UP",IF(AND(E128&lt;&gt;"",E128&lt;=TODAY()+3),"DUE SOON",IF(E128="","NO DUE DATE",""))))))</f>
        <v/>
      </c>
      <c r="H128" s="45"/>
      <c r="I128" s="46"/>
      <c r="J128" s="45"/>
      <c r="K128" s="47"/>
      <c r="L128" s="47"/>
      <c r="M128" s="47"/>
      <c r="N128" s="45"/>
    </row>
    <row r="129" customFormat="false" ht="18" hidden="false" customHeight="true" outlineLevel="0" collapsed="false">
      <c r="A129" s="44" t="str">
        <f aca="false">IF(B129="","",ROW()-4)</f>
        <v/>
      </c>
      <c r="B129" s="45"/>
      <c r="C129" s="46"/>
      <c r="D129" s="46"/>
      <c r="E129" s="47"/>
      <c r="F129" s="44" t="str">
        <f aca="true">IF(OR(B129="",E129="",C129="Done",C129="Cancelled"),"",E129-TODAY())</f>
        <v/>
      </c>
      <c r="G129" s="48" t="str">
        <f aca="true">IF(OR(B129="",C129="Done",C129="Cancelled"),"",IF(AND(E129&lt;&gt;"",E129&lt;TODAY()),"OVERDUE",IF(AND(E129&lt;&gt;"",E129=TODAY()),"DUE TODAY",IF(AND(K129&lt;&gt;"",K129&lt;=TODAY()),"FOLLOW UP",IF(AND(E129&lt;&gt;"",E129&lt;=TODAY()+3),"DUE SOON",IF(E129="","NO DUE DATE",""))))))</f>
        <v/>
      </c>
      <c r="H129" s="45"/>
      <c r="I129" s="46"/>
      <c r="J129" s="45"/>
      <c r="K129" s="47"/>
      <c r="L129" s="47"/>
      <c r="M129" s="47"/>
      <c r="N129" s="45"/>
    </row>
    <row r="130" customFormat="false" ht="18" hidden="false" customHeight="true" outlineLevel="0" collapsed="false">
      <c r="A130" s="44" t="str">
        <f aca="false">IF(B130="","",ROW()-4)</f>
        <v/>
      </c>
      <c r="B130" s="45"/>
      <c r="C130" s="46"/>
      <c r="D130" s="46"/>
      <c r="E130" s="47"/>
      <c r="F130" s="44" t="str">
        <f aca="true">IF(OR(B130="",E130="",C130="Done",C130="Cancelled"),"",E130-TODAY())</f>
        <v/>
      </c>
      <c r="G130" s="48" t="str">
        <f aca="true">IF(OR(B130="",C130="Done",C130="Cancelled"),"",IF(AND(E130&lt;&gt;"",E130&lt;TODAY()),"OVERDUE",IF(AND(E130&lt;&gt;"",E130=TODAY()),"DUE TODAY",IF(AND(K130&lt;&gt;"",K130&lt;=TODAY()),"FOLLOW UP",IF(AND(E130&lt;&gt;"",E130&lt;=TODAY()+3),"DUE SOON",IF(E130="","NO DUE DATE",""))))))</f>
        <v/>
      </c>
      <c r="H130" s="45"/>
      <c r="I130" s="46"/>
      <c r="J130" s="45"/>
      <c r="K130" s="47"/>
      <c r="L130" s="47"/>
      <c r="M130" s="47"/>
      <c r="N130" s="45"/>
    </row>
    <row r="131" customFormat="false" ht="18" hidden="false" customHeight="true" outlineLevel="0" collapsed="false">
      <c r="A131" s="44" t="str">
        <f aca="false">IF(B131="","",ROW()-4)</f>
        <v/>
      </c>
      <c r="B131" s="45"/>
      <c r="C131" s="46"/>
      <c r="D131" s="46"/>
      <c r="E131" s="47"/>
      <c r="F131" s="44" t="str">
        <f aca="true">IF(OR(B131="",E131="",C131="Done",C131="Cancelled"),"",E131-TODAY())</f>
        <v/>
      </c>
      <c r="G131" s="48" t="str">
        <f aca="true">IF(OR(B131="",C131="Done",C131="Cancelled"),"",IF(AND(E131&lt;&gt;"",E131&lt;TODAY()),"OVERDUE",IF(AND(E131&lt;&gt;"",E131=TODAY()),"DUE TODAY",IF(AND(K131&lt;&gt;"",K131&lt;=TODAY()),"FOLLOW UP",IF(AND(E131&lt;&gt;"",E131&lt;=TODAY()+3),"DUE SOON",IF(E131="","NO DUE DATE",""))))))</f>
        <v/>
      </c>
      <c r="H131" s="45"/>
      <c r="I131" s="46"/>
      <c r="J131" s="45"/>
      <c r="K131" s="47"/>
      <c r="L131" s="47"/>
      <c r="M131" s="47"/>
      <c r="N131" s="45"/>
    </row>
    <row r="132" customFormat="false" ht="18" hidden="false" customHeight="true" outlineLevel="0" collapsed="false">
      <c r="A132" s="44" t="str">
        <f aca="false">IF(B132="","",ROW()-4)</f>
        <v/>
      </c>
      <c r="B132" s="45"/>
      <c r="C132" s="46"/>
      <c r="D132" s="46"/>
      <c r="E132" s="47"/>
      <c r="F132" s="44" t="str">
        <f aca="true">IF(OR(B132="",E132="",C132="Done",C132="Cancelled"),"",E132-TODAY())</f>
        <v/>
      </c>
      <c r="G132" s="48" t="str">
        <f aca="true">IF(OR(B132="",C132="Done",C132="Cancelled"),"",IF(AND(E132&lt;&gt;"",E132&lt;TODAY()),"OVERDUE",IF(AND(E132&lt;&gt;"",E132=TODAY()),"DUE TODAY",IF(AND(K132&lt;&gt;"",K132&lt;=TODAY()),"FOLLOW UP",IF(AND(E132&lt;&gt;"",E132&lt;=TODAY()+3),"DUE SOON",IF(E132="","NO DUE DATE",""))))))</f>
        <v/>
      </c>
      <c r="H132" s="45"/>
      <c r="I132" s="46"/>
      <c r="J132" s="45"/>
      <c r="K132" s="47"/>
      <c r="L132" s="47"/>
      <c r="M132" s="47"/>
      <c r="N132" s="45"/>
    </row>
    <row r="133" customFormat="false" ht="18" hidden="false" customHeight="true" outlineLevel="0" collapsed="false">
      <c r="A133" s="44" t="str">
        <f aca="false">IF(B133="","",ROW()-4)</f>
        <v/>
      </c>
      <c r="B133" s="45"/>
      <c r="C133" s="46"/>
      <c r="D133" s="46"/>
      <c r="E133" s="47"/>
      <c r="F133" s="44" t="str">
        <f aca="true">IF(OR(B133="",E133="",C133="Done",C133="Cancelled"),"",E133-TODAY())</f>
        <v/>
      </c>
      <c r="G133" s="48" t="str">
        <f aca="true">IF(OR(B133="",C133="Done",C133="Cancelled"),"",IF(AND(E133&lt;&gt;"",E133&lt;TODAY()),"OVERDUE",IF(AND(E133&lt;&gt;"",E133=TODAY()),"DUE TODAY",IF(AND(K133&lt;&gt;"",K133&lt;=TODAY()),"FOLLOW UP",IF(AND(E133&lt;&gt;"",E133&lt;=TODAY()+3),"DUE SOON",IF(E133="","NO DUE DATE",""))))))</f>
        <v/>
      </c>
      <c r="H133" s="45"/>
      <c r="I133" s="46"/>
      <c r="J133" s="45"/>
      <c r="K133" s="47"/>
      <c r="L133" s="47"/>
      <c r="M133" s="47"/>
      <c r="N133" s="45"/>
    </row>
    <row r="134" customFormat="false" ht="18" hidden="false" customHeight="true" outlineLevel="0" collapsed="false">
      <c r="A134" s="44" t="str">
        <f aca="false">IF(B134="","",ROW()-4)</f>
        <v/>
      </c>
      <c r="B134" s="45"/>
      <c r="C134" s="46"/>
      <c r="D134" s="46"/>
      <c r="E134" s="47"/>
      <c r="F134" s="44" t="str">
        <f aca="true">IF(OR(B134="",E134="",C134="Done",C134="Cancelled"),"",E134-TODAY())</f>
        <v/>
      </c>
      <c r="G134" s="48" t="str">
        <f aca="true">IF(OR(B134="",C134="Done",C134="Cancelled"),"",IF(AND(E134&lt;&gt;"",E134&lt;TODAY()),"OVERDUE",IF(AND(E134&lt;&gt;"",E134=TODAY()),"DUE TODAY",IF(AND(K134&lt;&gt;"",K134&lt;=TODAY()),"FOLLOW UP",IF(AND(E134&lt;&gt;"",E134&lt;=TODAY()+3),"DUE SOON",IF(E134="","NO DUE DATE",""))))))</f>
        <v/>
      </c>
      <c r="H134" s="45"/>
      <c r="I134" s="46"/>
      <c r="J134" s="45"/>
      <c r="K134" s="47"/>
      <c r="L134" s="47"/>
      <c r="M134" s="47"/>
      <c r="N134" s="45"/>
    </row>
    <row r="135" customFormat="false" ht="18" hidden="false" customHeight="true" outlineLevel="0" collapsed="false">
      <c r="A135" s="44" t="str">
        <f aca="false">IF(B135="","",ROW()-4)</f>
        <v/>
      </c>
      <c r="B135" s="45"/>
      <c r="C135" s="46"/>
      <c r="D135" s="46"/>
      <c r="E135" s="47"/>
      <c r="F135" s="44" t="str">
        <f aca="true">IF(OR(B135="",E135="",C135="Done",C135="Cancelled"),"",E135-TODAY())</f>
        <v/>
      </c>
      <c r="G135" s="48" t="str">
        <f aca="true">IF(OR(B135="",C135="Done",C135="Cancelled"),"",IF(AND(E135&lt;&gt;"",E135&lt;TODAY()),"OVERDUE",IF(AND(E135&lt;&gt;"",E135=TODAY()),"DUE TODAY",IF(AND(K135&lt;&gt;"",K135&lt;=TODAY()),"FOLLOW UP",IF(AND(E135&lt;&gt;"",E135&lt;=TODAY()+3),"DUE SOON",IF(E135="","NO DUE DATE",""))))))</f>
        <v/>
      </c>
      <c r="H135" s="45"/>
      <c r="I135" s="46"/>
      <c r="J135" s="45"/>
      <c r="K135" s="47"/>
      <c r="L135" s="47"/>
      <c r="M135" s="47"/>
      <c r="N135" s="45"/>
    </row>
    <row r="136" customFormat="false" ht="18" hidden="false" customHeight="true" outlineLevel="0" collapsed="false">
      <c r="A136" s="44" t="str">
        <f aca="false">IF(B136="","",ROW()-4)</f>
        <v/>
      </c>
      <c r="B136" s="45"/>
      <c r="C136" s="46"/>
      <c r="D136" s="46"/>
      <c r="E136" s="47"/>
      <c r="F136" s="44" t="str">
        <f aca="true">IF(OR(B136="",E136="",C136="Done",C136="Cancelled"),"",E136-TODAY())</f>
        <v/>
      </c>
      <c r="G136" s="48" t="str">
        <f aca="true">IF(OR(B136="",C136="Done",C136="Cancelled"),"",IF(AND(E136&lt;&gt;"",E136&lt;TODAY()),"OVERDUE",IF(AND(E136&lt;&gt;"",E136=TODAY()),"DUE TODAY",IF(AND(K136&lt;&gt;"",K136&lt;=TODAY()),"FOLLOW UP",IF(AND(E136&lt;&gt;"",E136&lt;=TODAY()+3),"DUE SOON",IF(E136="","NO DUE DATE",""))))))</f>
        <v/>
      </c>
      <c r="H136" s="45"/>
      <c r="I136" s="46"/>
      <c r="J136" s="45"/>
      <c r="K136" s="47"/>
      <c r="L136" s="47"/>
      <c r="M136" s="47"/>
      <c r="N136" s="45"/>
    </row>
    <row r="137" customFormat="false" ht="18" hidden="false" customHeight="true" outlineLevel="0" collapsed="false">
      <c r="A137" s="44" t="str">
        <f aca="false">IF(B137="","",ROW()-4)</f>
        <v/>
      </c>
      <c r="B137" s="45"/>
      <c r="C137" s="46"/>
      <c r="D137" s="46"/>
      <c r="E137" s="47"/>
      <c r="F137" s="44" t="str">
        <f aca="true">IF(OR(B137="",E137="",C137="Done",C137="Cancelled"),"",E137-TODAY())</f>
        <v/>
      </c>
      <c r="G137" s="48" t="str">
        <f aca="true">IF(OR(B137="",C137="Done",C137="Cancelled"),"",IF(AND(E137&lt;&gt;"",E137&lt;TODAY()),"OVERDUE",IF(AND(E137&lt;&gt;"",E137=TODAY()),"DUE TODAY",IF(AND(K137&lt;&gt;"",K137&lt;=TODAY()),"FOLLOW UP",IF(AND(E137&lt;&gt;"",E137&lt;=TODAY()+3),"DUE SOON",IF(E137="","NO DUE DATE",""))))))</f>
        <v/>
      </c>
      <c r="H137" s="45"/>
      <c r="I137" s="46"/>
      <c r="J137" s="45"/>
      <c r="K137" s="47"/>
      <c r="L137" s="47"/>
      <c r="M137" s="47"/>
      <c r="N137" s="45"/>
    </row>
    <row r="138" customFormat="false" ht="18" hidden="false" customHeight="true" outlineLevel="0" collapsed="false">
      <c r="A138" s="44" t="str">
        <f aca="false">IF(B138="","",ROW()-4)</f>
        <v/>
      </c>
      <c r="B138" s="45"/>
      <c r="C138" s="46"/>
      <c r="D138" s="46"/>
      <c r="E138" s="47"/>
      <c r="F138" s="44" t="str">
        <f aca="true">IF(OR(B138="",E138="",C138="Done",C138="Cancelled"),"",E138-TODAY())</f>
        <v/>
      </c>
      <c r="G138" s="48" t="str">
        <f aca="true">IF(OR(B138="",C138="Done",C138="Cancelled"),"",IF(AND(E138&lt;&gt;"",E138&lt;TODAY()),"OVERDUE",IF(AND(E138&lt;&gt;"",E138=TODAY()),"DUE TODAY",IF(AND(K138&lt;&gt;"",K138&lt;=TODAY()),"FOLLOW UP",IF(AND(E138&lt;&gt;"",E138&lt;=TODAY()+3),"DUE SOON",IF(E138="","NO DUE DATE",""))))))</f>
        <v/>
      </c>
      <c r="H138" s="45"/>
      <c r="I138" s="46"/>
      <c r="J138" s="45"/>
      <c r="K138" s="47"/>
      <c r="L138" s="47"/>
      <c r="M138" s="47"/>
      <c r="N138" s="45"/>
    </row>
    <row r="139" customFormat="false" ht="18" hidden="false" customHeight="true" outlineLevel="0" collapsed="false">
      <c r="A139" s="44" t="str">
        <f aca="false">IF(B139="","",ROW()-4)</f>
        <v/>
      </c>
      <c r="B139" s="45"/>
      <c r="C139" s="46"/>
      <c r="D139" s="46"/>
      <c r="E139" s="47"/>
      <c r="F139" s="44" t="str">
        <f aca="true">IF(OR(B139="",E139="",C139="Done",C139="Cancelled"),"",E139-TODAY())</f>
        <v/>
      </c>
      <c r="G139" s="48" t="str">
        <f aca="true">IF(OR(B139="",C139="Done",C139="Cancelled"),"",IF(AND(E139&lt;&gt;"",E139&lt;TODAY()),"OVERDUE",IF(AND(E139&lt;&gt;"",E139=TODAY()),"DUE TODAY",IF(AND(K139&lt;&gt;"",K139&lt;=TODAY()),"FOLLOW UP",IF(AND(E139&lt;&gt;"",E139&lt;=TODAY()+3),"DUE SOON",IF(E139="","NO DUE DATE",""))))))</f>
        <v/>
      </c>
      <c r="H139" s="45"/>
      <c r="I139" s="46"/>
      <c r="J139" s="45"/>
      <c r="K139" s="47"/>
      <c r="L139" s="47"/>
      <c r="M139" s="47"/>
      <c r="N139" s="45"/>
    </row>
    <row r="140" customFormat="false" ht="18" hidden="false" customHeight="true" outlineLevel="0" collapsed="false">
      <c r="A140" s="44" t="str">
        <f aca="false">IF(B140="","",ROW()-4)</f>
        <v/>
      </c>
      <c r="B140" s="45"/>
      <c r="C140" s="46"/>
      <c r="D140" s="46"/>
      <c r="E140" s="47"/>
      <c r="F140" s="44" t="str">
        <f aca="true">IF(OR(B140="",E140="",C140="Done",C140="Cancelled"),"",E140-TODAY())</f>
        <v/>
      </c>
      <c r="G140" s="48" t="str">
        <f aca="true">IF(OR(B140="",C140="Done",C140="Cancelled"),"",IF(AND(E140&lt;&gt;"",E140&lt;TODAY()),"OVERDUE",IF(AND(E140&lt;&gt;"",E140=TODAY()),"DUE TODAY",IF(AND(K140&lt;&gt;"",K140&lt;=TODAY()),"FOLLOW UP",IF(AND(E140&lt;&gt;"",E140&lt;=TODAY()+3),"DUE SOON",IF(E140="","NO DUE DATE",""))))))</f>
        <v/>
      </c>
      <c r="H140" s="45"/>
      <c r="I140" s="46"/>
      <c r="J140" s="45"/>
      <c r="K140" s="47"/>
      <c r="L140" s="47"/>
      <c r="M140" s="47"/>
      <c r="N140" s="45"/>
    </row>
    <row r="141" customFormat="false" ht="18" hidden="false" customHeight="true" outlineLevel="0" collapsed="false">
      <c r="A141" s="44" t="str">
        <f aca="false">IF(B141="","",ROW()-4)</f>
        <v/>
      </c>
      <c r="B141" s="45"/>
      <c r="C141" s="46"/>
      <c r="D141" s="46"/>
      <c r="E141" s="47"/>
      <c r="F141" s="44" t="str">
        <f aca="true">IF(OR(B141="",E141="",C141="Done",C141="Cancelled"),"",E141-TODAY())</f>
        <v/>
      </c>
      <c r="G141" s="48" t="str">
        <f aca="true">IF(OR(B141="",C141="Done",C141="Cancelled"),"",IF(AND(E141&lt;&gt;"",E141&lt;TODAY()),"OVERDUE",IF(AND(E141&lt;&gt;"",E141=TODAY()),"DUE TODAY",IF(AND(K141&lt;&gt;"",K141&lt;=TODAY()),"FOLLOW UP",IF(AND(E141&lt;&gt;"",E141&lt;=TODAY()+3),"DUE SOON",IF(E141="","NO DUE DATE",""))))))</f>
        <v/>
      </c>
      <c r="H141" s="45"/>
      <c r="I141" s="46"/>
      <c r="J141" s="45"/>
      <c r="K141" s="47"/>
      <c r="L141" s="47"/>
      <c r="M141" s="47"/>
      <c r="N141" s="45"/>
    </row>
    <row r="142" customFormat="false" ht="18" hidden="false" customHeight="true" outlineLevel="0" collapsed="false">
      <c r="A142" s="44" t="str">
        <f aca="false">IF(B142="","",ROW()-4)</f>
        <v/>
      </c>
      <c r="B142" s="45"/>
      <c r="C142" s="46"/>
      <c r="D142" s="46"/>
      <c r="E142" s="47"/>
      <c r="F142" s="44" t="str">
        <f aca="true">IF(OR(B142="",E142="",C142="Done",C142="Cancelled"),"",E142-TODAY())</f>
        <v/>
      </c>
      <c r="G142" s="48" t="str">
        <f aca="true">IF(OR(B142="",C142="Done",C142="Cancelled"),"",IF(AND(E142&lt;&gt;"",E142&lt;TODAY()),"OVERDUE",IF(AND(E142&lt;&gt;"",E142=TODAY()),"DUE TODAY",IF(AND(K142&lt;&gt;"",K142&lt;=TODAY()),"FOLLOW UP",IF(AND(E142&lt;&gt;"",E142&lt;=TODAY()+3),"DUE SOON",IF(E142="","NO DUE DATE",""))))))</f>
        <v/>
      </c>
      <c r="H142" s="45"/>
      <c r="I142" s="46"/>
      <c r="J142" s="45"/>
      <c r="K142" s="47"/>
      <c r="L142" s="47"/>
      <c r="M142" s="47"/>
      <c r="N142" s="45"/>
    </row>
    <row r="143" customFormat="false" ht="18" hidden="false" customHeight="true" outlineLevel="0" collapsed="false">
      <c r="A143" s="44" t="str">
        <f aca="false">IF(B143="","",ROW()-4)</f>
        <v/>
      </c>
      <c r="B143" s="45"/>
      <c r="C143" s="46"/>
      <c r="D143" s="46"/>
      <c r="E143" s="47"/>
      <c r="F143" s="44" t="str">
        <f aca="true">IF(OR(B143="",E143="",C143="Done",C143="Cancelled"),"",E143-TODAY())</f>
        <v/>
      </c>
      <c r="G143" s="48" t="str">
        <f aca="true">IF(OR(B143="",C143="Done",C143="Cancelled"),"",IF(AND(E143&lt;&gt;"",E143&lt;TODAY()),"OVERDUE",IF(AND(E143&lt;&gt;"",E143=TODAY()),"DUE TODAY",IF(AND(K143&lt;&gt;"",K143&lt;=TODAY()),"FOLLOW UP",IF(AND(E143&lt;&gt;"",E143&lt;=TODAY()+3),"DUE SOON",IF(E143="","NO DUE DATE",""))))))</f>
        <v/>
      </c>
      <c r="H143" s="45"/>
      <c r="I143" s="46"/>
      <c r="J143" s="45"/>
      <c r="K143" s="47"/>
      <c r="L143" s="47"/>
      <c r="M143" s="47"/>
      <c r="N143" s="45"/>
    </row>
    <row r="144" customFormat="false" ht="18" hidden="false" customHeight="true" outlineLevel="0" collapsed="false">
      <c r="A144" s="44" t="str">
        <f aca="false">IF(B144="","",ROW()-4)</f>
        <v/>
      </c>
      <c r="B144" s="45"/>
      <c r="C144" s="46"/>
      <c r="D144" s="46"/>
      <c r="E144" s="47"/>
      <c r="F144" s="44" t="str">
        <f aca="true">IF(OR(B144="",E144="",C144="Done",C144="Cancelled"),"",E144-TODAY())</f>
        <v/>
      </c>
      <c r="G144" s="48" t="str">
        <f aca="true">IF(OR(B144="",C144="Done",C144="Cancelled"),"",IF(AND(E144&lt;&gt;"",E144&lt;TODAY()),"OVERDUE",IF(AND(E144&lt;&gt;"",E144=TODAY()),"DUE TODAY",IF(AND(K144&lt;&gt;"",K144&lt;=TODAY()),"FOLLOW UP",IF(AND(E144&lt;&gt;"",E144&lt;=TODAY()+3),"DUE SOON",IF(E144="","NO DUE DATE",""))))))</f>
        <v/>
      </c>
      <c r="H144" s="45"/>
      <c r="I144" s="46"/>
      <c r="J144" s="45"/>
      <c r="K144" s="47"/>
      <c r="L144" s="47"/>
      <c r="M144" s="47"/>
      <c r="N144" s="45"/>
    </row>
    <row r="145" customFormat="false" ht="18" hidden="false" customHeight="true" outlineLevel="0" collapsed="false">
      <c r="A145" s="44" t="str">
        <f aca="false">IF(B145="","",ROW()-4)</f>
        <v/>
      </c>
      <c r="B145" s="45"/>
      <c r="C145" s="46"/>
      <c r="D145" s="46"/>
      <c r="E145" s="47"/>
      <c r="F145" s="44" t="str">
        <f aca="true">IF(OR(B145="",E145="",C145="Done",C145="Cancelled"),"",E145-TODAY())</f>
        <v/>
      </c>
      <c r="G145" s="48" t="str">
        <f aca="true">IF(OR(B145="",C145="Done",C145="Cancelled"),"",IF(AND(E145&lt;&gt;"",E145&lt;TODAY()),"OVERDUE",IF(AND(E145&lt;&gt;"",E145=TODAY()),"DUE TODAY",IF(AND(K145&lt;&gt;"",K145&lt;=TODAY()),"FOLLOW UP",IF(AND(E145&lt;&gt;"",E145&lt;=TODAY()+3),"DUE SOON",IF(E145="","NO DUE DATE",""))))))</f>
        <v/>
      </c>
      <c r="H145" s="45"/>
      <c r="I145" s="46"/>
      <c r="J145" s="45"/>
      <c r="K145" s="47"/>
      <c r="L145" s="47"/>
      <c r="M145" s="47"/>
      <c r="N145" s="45"/>
    </row>
    <row r="146" customFormat="false" ht="18" hidden="false" customHeight="true" outlineLevel="0" collapsed="false">
      <c r="A146" s="44" t="str">
        <f aca="false">IF(B146="","",ROW()-4)</f>
        <v/>
      </c>
      <c r="B146" s="45"/>
      <c r="C146" s="46"/>
      <c r="D146" s="46"/>
      <c r="E146" s="47"/>
      <c r="F146" s="44" t="str">
        <f aca="true">IF(OR(B146="",E146="",C146="Done",C146="Cancelled"),"",E146-TODAY())</f>
        <v/>
      </c>
      <c r="G146" s="48" t="str">
        <f aca="true">IF(OR(B146="",C146="Done",C146="Cancelled"),"",IF(AND(E146&lt;&gt;"",E146&lt;TODAY()),"OVERDUE",IF(AND(E146&lt;&gt;"",E146=TODAY()),"DUE TODAY",IF(AND(K146&lt;&gt;"",K146&lt;=TODAY()),"FOLLOW UP",IF(AND(E146&lt;&gt;"",E146&lt;=TODAY()+3),"DUE SOON",IF(E146="","NO DUE DATE",""))))))</f>
        <v/>
      </c>
      <c r="H146" s="45"/>
      <c r="I146" s="46"/>
      <c r="J146" s="45"/>
      <c r="K146" s="47"/>
      <c r="L146" s="47"/>
      <c r="M146" s="47"/>
      <c r="N146" s="45"/>
    </row>
    <row r="147" customFormat="false" ht="18" hidden="false" customHeight="true" outlineLevel="0" collapsed="false">
      <c r="A147" s="44" t="str">
        <f aca="false">IF(B147="","",ROW()-4)</f>
        <v/>
      </c>
      <c r="B147" s="45"/>
      <c r="C147" s="46"/>
      <c r="D147" s="46"/>
      <c r="E147" s="47"/>
      <c r="F147" s="44" t="str">
        <f aca="true">IF(OR(B147="",E147="",C147="Done",C147="Cancelled"),"",E147-TODAY())</f>
        <v/>
      </c>
      <c r="G147" s="48" t="str">
        <f aca="true">IF(OR(B147="",C147="Done",C147="Cancelled"),"",IF(AND(E147&lt;&gt;"",E147&lt;TODAY()),"OVERDUE",IF(AND(E147&lt;&gt;"",E147=TODAY()),"DUE TODAY",IF(AND(K147&lt;&gt;"",K147&lt;=TODAY()),"FOLLOW UP",IF(AND(E147&lt;&gt;"",E147&lt;=TODAY()+3),"DUE SOON",IF(E147="","NO DUE DATE",""))))))</f>
        <v/>
      </c>
      <c r="H147" s="45"/>
      <c r="I147" s="46"/>
      <c r="J147" s="45"/>
      <c r="K147" s="47"/>
      <c r="L147" s="47"/>
      <c r="M147" s="47"/>
      <c r="N147" s="45"/>
    </row>
    <row r="148" customFormat="false" ht="18" hidden="false" customHeight="true" outlineLevel="0" collapsed="false">
      <c r="A148" s="44" t="str">
        <f aca="false">IF(B148="","",ROW()-4)</f>
        <v/>
      </c>
      <c r="B148" s="45"/>
      <c r="C148" s="46"/>
      <c r="D148" s="46"/>
      <c r="E148" s="47"/>
      <c r="F148" s="44" t="str">
        <f aca="true">IF(OR(B148="",E148="",C148="Done",C148="Cancelled"),"",E148-TODAY())</f>
        <v/>
      </c>
      <c r="G148" s="48" t="str">
        <f aca="true">IF(OR(B148="",C148="Done",C148="Cancelled"),"",IF(AND(E148&lt;&gt;"",E148&lt;TODAY()),"OVERDUE",IF(AND(E148&lt;&gt;"",E148=TODAY()),"DUE TODAY",IF(AND(K148&lt;&gt;"",K148&lt;=TODAY()),"FOLLOW UP",IF(AND(E148&lt;&gt;"",E148&lt;=TODAY()+3),"DUE SOON",IF(E148="","NO DUE DATE",""))))))</f>
        <v/>
      </c>
      <c r="H148" s="45"/>
      <c r="I148" s="46"/>
      <c r="J148" s="45"/>
      <c r="K148" s="47"/>
      <c r="L148" s="47"/>
      <c r="M148" s="47"/>
      <c r="N148" s="45"/>
    </row>
    <row r="149" customFormat="false" ht="18" hidden="false" customHeight="true" outlineLevel="0" collapsed="false">
      <c r="A149" s="44" t="str">
        <f aca="false">IF(B149="","",ROW()-4)</f>
        <v/>
      </c>
      <c r="B149" s="45"/>
      <c r="C149" s="46"/>
      <c r="D149" s="46"/>
      <c r="E149" s="47"/>
      <c r="F149" s="44" t="str">
        <f aca="true">IF(OR(B149="",E149="",C149="Done",C149="Cancelled"),"",E149-TODAY())</f>
        <v/>
      </c>
      <c r="G149" s="48" t="str">
        <f aca="true">IF(OR(B149="",C149="Done",C149="Cancelled"),"",IF(AND(E149&lt;&gt;"",E149&lt;TODAY()),"OVERDUE",IF(AND(E149&lt;&gt;"",E149=TODAY()),"DUE TODAY",IF(AND(K149&lt;&gt;"",K149&lt;=TODAY()),"FOLLOW UP",IF(AND(E149&lt;&gt;"",E149&lt;=TODAY()+3),"DUE SOON",IF(E149="","NO DUE DATE",""))))))</f>
        <v/>
      </c>
      <c r="H149" s="45"/>
      <c r="I149" s="46"/>
      <c r="J149" s="45"/>
      <c r="K149" s="47"/>
      <c r="L149" s="47"/>
      <c r="M149" s="47"/>
      <c r="N149" s="45"/>
    </row>
    <row r="150" customFormat="false" ht="18" hidden="false" customHeight="true" outlineLevel="0" collapsed="false">
      <c r="A150" s="44" t="str">
        <f aca="false">IF(B150="","",ROW()-4)</f>
        <v/>
      </c>
      <c r="B150" s="45"/>
      <c r="C150" s="46"/>
      <c r="D150" s="46"/>
      <c r="E150" s="47"/>
      <c r="F150" s="44" t="str">
        <f aca="true">IF(OR(B150="",E150="",C150="Done",C150="Cancelled"),"",E150-TODAY())</f>
        <v/>
      </c>
      <c r="G150" s="48" t="str">
        <f aca="true">IF(OR(B150="",C150="Done",C150="Cancelled"),"",IF(AND(E150&lt;&gt;"",E150&lt;TODAY()),"OVERDUE",IF(AND(E150&lt;&gt;"",E150=TODAY()),"DUE TODAY",IF(AND(K150&lt;&gt;"",K150&lt;=TODAY()),"FOLLOW UP",IF(AND(E150&lt;&gt;"",E150&lt;=TODAY()+3),"DUE SOON",IF(E150="","NO DUE DATE",""))))))</f>
        <v/>
      </c>
      <c r="H150" s="45"/>
      <c r="I150" s="46"/>
      <c r="J150" s="45"/>
      <c r="K150" s="47"/>
      <c r="L150" s="47"/>
      <c r="M150" s="47"/>
      <c r="N150" s="45"/>
    </row>
    <row r="151" customFormat="false" ht="18" hidden="false" customHeight="true" outlineLevel="0" collapsed="false">
      <c r="A151" s="44" t="str">
        <f aca="false">IF(B151="","",ROW()-4)</f>
        <v/>
      </c>
      <c r="B151" s="45"/>
      <c r="C151" s="46"/>
      <c r="D151" s="46"/>
      <c r="E151" s="47"/>
      <c r="F151" s="44" t="str">
        <f aca="true">IF(OR(B151="",E151="",C151="Done",C151="Cancelled"),"",E151-TODAY())</f>
        <v/>
      </c>
      <c r="G151" s="48" t="str">
        <f aca="true">IF(OR(B151="",C151="Done",C151="Cancelled"),"",IF(AND(E151&lt;&gt;"",E151&lt;TODAY()),"OVERDUE",IF(AND(E151&lt;&gt;"",E151=TODAY()),"DUE TODAY",IF(AND(K151&lt;&gt;"",K151&lt;=TODAY()),"FOLLOW UP",IF(AND(E151&lt;&gt;"",E151&lt;=TODAY()+3),"DUE SOON",IF(E151="","NO DUE DATE",""))))))</f>
        <v/>
      </c>
      <c r="H151" s="45"/>
      <c r="I151" s="46"/>
      <c r="J151" s="45"/>
      <c r="K151" s="47"/>
      <c r="L151" s="47"/>
      <c r="M151" s="47"/>
      <c r="N151" s="45"/>
    </row>
    <row r="152" customFormat="false" ht="18" hidden="false" customHeight="true" outlineLevel="0" collapsed="false">
      <c r="A152" s="44" t="str">
        <f aca="false">IF(B152="","",ROW()-4)</f>
        <v/>
      </c>
      <c r="B152" s="45"/>
      <c r="C152" s="46"/>
      <c r="D152" s="46"/>
      <c r="E152" s="47"/>
      <c r="F152" s="44" t="str">
        <f aca="true">IF(OR(B152="",E152="",C152="Done",C152="Cancelled"),"",E152-TODAY())</f>
        <v/>
      </c>
      <c r="G152" s="48" t="str">
        <f aca="true">IF(OR(B152="",C152="Done",C152="Cancelled"),"",IF(AND(E152&lt;&gt;"",E152&lt;TODAY()),"OVERDUE",IF(AND(E152&lt;&gt;"",E152=TODAY()),"DUE TODAY",IF(AND(K152&lt;&gt;"",K152&lt;=TODAY()),"FOLLOW UP",IF(AND(E152&lt;&gt;"",E152&lt;=TODAY()+3),"DUE SOON",IF(E152="","NO DUE DATE",""))))))</f>
        <v/>
      </c>
      <c r="H152" s="45"/>
      <c r="I152" s="46"/>
      <c r="J152" s="45"/>
      <c r="K152" s="47"/>
      <c r="L152" s="47"/>
      <c r="M152" s="47"/>
      <c r="N152" s="45"/>
    </row>
    <row r="153" customFormat="false" ht="18" hidden="false" customHeight="true" outlineLevel="0" collapsed="false">
      <c r="A153" s="44" t="str">
        <f aca="false">IF(B153="","",ROW()-4)</f>
        <v/>
      </c>
      <c r="B153" s="45"/>
      <c r="C153" s="46"/>
      <c r="D153" s="46"/>
      <c r="E153" s="47"/>
      <c r="F153" s="44" t="str">
        <f aca="true">IF(OR(B153="",E153="",C153="Done",C153="Cancelled"),"",E153-TODAY())</f>
        <v/>
      </c>
      <c r="G153" s="48" t="str">
        <f aca="true">IF(OR(B153="",C153="Done",C153="Cancelled"),"",IF(AND(E153&lt;&gt;"",E153&lt;TODAY()),"OVERDUE",IF(AND(E153&lt;&gt;"",E153=TODAY()),"DUE TODAY",IF(AND(K153&lt;&gt;"",K153&lt;=TODAY()),"FOLLOW UP",IF(AND(E153&lt;&gt;"",E153&lt;=TODAY()+3),"DUE SOON",IF(E153="","NO DUE DATE",""))))))</f>
        <v/>
      </c>
      <c r="H153" s="45"/>
      <c r="I153" s="46"/>
      <c r="J153" s="45"/>
      <c r="K153" s="47"/>
      <c r="L153" s="47"/>
      <c r="M153" s="47"/>
      <c r="N153" s="45"/>
    </row>
    <row r="154" customFormat="false" ht="18" hidden="false" customHeight="true" outlineLevel="0" collapsed="false">
      <c r="A154" s="44" t="str">
        <f aca="false">IF(B154="","",ROW()-4)</f>
        <v/>
      </c>
      <c r="B154" s="45"/>
      <c r="C154" s="46"/>
      <c r="D154" s="46"/>
      <c r="E154" s="47"/>
      <c r="F154" s="44" t="str">
        <f aca="true">IF(OR(B154="",E154="",C154="Done",C154="Cancelled"),"",E154-TODAY())</f>
        <v/>
      </c>
      <c r="G154" s="48" t="str">
        <f aca="true">IF(OR(B154="",C154="Done",C154="Cancelled"),"",IF(AND(E154&lt;&gt;"",E154&lt;TODAY()),"OVERDUE",IF(AND(E154&lt;&gt;"",E154=TODAY()),"DUE TODAY",IF(AND(K154&lt;&gt;"",K154&lt;=TODAY()),"FOLLOW UP",IF(AND(E154&lt;&gt;"",E154&lt;=TODAY()+3),"DUE SOON",IF(E154="","NO DUE DATE",""))))))</f>
        <v/>
      </c>
      <c r="H154" s="45"/>
      <c r="I154" s="46"/>
      <c r="J154" s="45"/>
      <c r="K154" s="47"/>
      <c r="L154" s="47"/>
      <c r="M154" s="47"/>
      <c r="N154" s="45"/>
    </row>
    <row r="155" customFormat="false" ht="18" hidden="false" customHeight="true" outlineLevel="0" collapsed="false">
      <c r="A155" s="44" t="str">
        <f aca="false">IF(B155="","",ROW()-4)</f>
        <v/>
      </c>
      <c r="B155" s="45"/>
      <c r="C155" s="46"/>
      <c r="D155" s="46"/>
      <c r="E155" s="47"/>
      <c r="F155" s="44" t="str">
        <f aca="true">IF(OR(B155="",E155="",C155="Done",C155="Cancelled"),"",E155-TODAY())</f>
        <v/>
      </c>
      <c r="G155" s="48" t="str">
        <f aca="true">IF(OR(B155="",C155="Done",C155="Cancelled"),"",IF(AND(E155&lt;&gt;"",E155&lt;TODAY()),"OVERDUE",IF(AND(E155&lt;&gt;"",E155=TODAY()),"DUE TODAY",IF(AND(K155&lt;&gt;"",K155&lt;=TODAY()),"FOLLOW UP",IF(AND(E155&lt;&gt;"",E155&lt;=TODAY()+3),"DUE SOON",IF(E155="","NO DUE DATE",""))))))</f>
        <v/>
      </c>
      <c r="H155" s="45"/>
      <c r="I155" s="46"/>
      <c r="J155" s="45"/>
      <c r="K155" s="47"/>
      <c r="L155" s="47"/>
      <c r="M155" s="47"/>
      <c r="N155" s="45"/>
    </row>
    <row r="156" customFormat="false" ht="18" hidden="false" customHeight="true" outlineLevel="0" collapsed="false">
      <c r="A156" s="44" t="str">
        <f aca="false">IF(B156="","",ROW()-4)</f>
        <v/>
      </c>
      <c r="B156" s="45"/>
      <c r="C156" s="46"/>
      <c r="D156" s="46"/>
      <c r="E156" s="47"/>
      <c r="F156" s="44" t="str">
        <f aca="true">IF(OR(B156="",E156="",C156="Done",C156="Cancelled"),"",E156-TODAY())</f>
        <v/>
      </c>
      <c r="G156" s="48" t="str">
        <f aca="true">IF(OR(B156="",C156="Done",C156="Cancelled"),"",IF(AND(E156&lt;&gt;"",E156&lt;TODAY()),"OVERDUE",IF(AND(E156&lt;&gt;"",E156=TODAY()),"DUE TODAY",IF(AND(K156&lt;&gt;"",K156&lt;=TODAY()),"FOLLOW UP",IF(AND(E156&lt;&gt;"",E156&lt;=TODAY()+3),"DUE SOON",IF(E156="","NO DUE DATE",""))))))</f>
        <v/>
      </c>
      <c r="H156" s="45"/>
      <c r="I156" s="46"/>
      <c r="J156" s="45"/>
      <c r="K156" s="47"/>
      <c r="L156" s="47"/>
      <c r="M156" s="47"/>
      <c r="N156" s="45"/>
    </row>
    <row r="157" customFormat="false" ht="18" hidden="false" customHeight="true" outlineLevel="0" collapsed="false">
      <c r="A157" s="44" t="str">
        <f aca="false">IF(B157="","",ROW()-4)</f>
        <v/>
      </c>
      <c r="B157" s="45"/>
      <c r="C157" s="46"/>
      <c r="D157" s="46"/>
      <c r="E157" s="47"/>
      <c r="F157" s="44" t="str">
        <f aca="true">IF(OR(B157="",E157="",C157="Done",C157="Cancelled"),"",E157-TODAY())</f>
        <v/>
      </c>
      <c r="G157" s="48" t="str">
        <f aca="true">IF(OR(B157="",C157="Done",C157="Cancelled"),"",IF(AND(E157&lt;&gt;"",E157&lt;TODAY()),"OVERDUE",IF(AND(E157&lt;&gt;"",E157=TODAY()),"DUE TODAY",IF(AND(K157&lt;&gt;"",K157&lt;=TODAY()),"FOLLOW UP",IF(AND(E157&lt;&gt;"",E157&lt;=TODAY()+3),"DUE SOON",IF(E157="","NO DUE DATE",""))))))</f>
        <v/>
      </c>
      <c r="H157" s="45"/>
      <c r="I157" s="46"/>
      <c r="J157" s="45"/>
      <c r="K157" s="47"/>
      <c r="L157" s="47"/>
      <c r="M157" s="47"/>
      <c r="N157" s="45"/>
    </row>
    <row r="158" customFormat="false" ht="18" hidden="false" customHeight="true" outlineLevel="0" collapsed="false">
      <c r="A158" s="44" t="str">
        <f aca="false">IF(B158="","",ROW()-4)</f>
        <v/>
      </c>
      <c r="B158" s="45"/>
      <c r="C158" s="46"/>
      <c r="D158" s="46"/>
      <c r="E158" s="47"/>
      <c r="F158" s="44" t="str">
        <f aca="true">IF(OR(B158="",E158="",C158="Done",C158="Cancelled"),"",E158-TODAY())</f>
        <v/>
      </c>
      <c r="G158" s="48" t="str">
        <f aca="true">IF(OR(B158="",C158="Done",C158="Cancelled"),"",IF(AND(E158&lt;&gt;"",E158&lt;TODAY()),"OVERDUE",IF(AND(E158&lt;&gt;"",E158=TODAY()),"DUE TODAY",IF(AND(K158&lt;&gt;"",K158&lt;=TODAY()),"FOLLOW UP",IF(AND(E158&lt;&gt;"",E158&lt;=TODAY()+3),"DUE SOON",IF(E158="","NO DUE DATE",""))))))</f>
        <v/>
      </c>
      <c r="H158" s="45"/>
      <c r="I158" s="46"/>
      <c r="J158" s="45"/>
      <c r="K158" s="47"/>
      <c r="L158" s="47"/>
      <c r="M158" s="47"/>
      <c r="N158" s="45"/>
    </row>
    <row r="159" customFormat="false" ht="18" hidden="false" customHeight="true" outlineLevel="0" collapsed="false">
      <c r="A159" s="44" t="str">
        <f aca="false">IF(B159="","",ROW()-4)</f>
        <v/>
      </c>
      <c r="B159" s="45"/>
      <c r="C159" s="46"/>
      <c r="D159" s="46"/>
      <c r="E159" s="47"/>
      <c r="F159" s="44" t="str">
        <f aca="true">IF(OR(B159="",E159="",C159="Done",C159="Cancelled"),"",E159-TODAY())</f>
        <v/>
      </c>
      <c r="G159" s="48" t="str">
        <f aca="true">IF(OR(B159="",C159="Done",C159="Cancelled"),"",IF(AND(E159&lt;&gt;"",E159&lt;TODAY()),"OVERDUE",IF(AND(E159&lt;&gt;"",E159=TODAY()),"DUE TODAY",IF(AND(K159&lt;&gt;"",K159&lt;=TODAY()),"FOLLOW UP",IF(AND(E159&lt;&gt;"",E159&lt;=TODAY()+3),"DUE SOON",IF(E159="","NO DUE DATE",""))))))</f>
        <v/>
      </c>
      <c r="H159" s="45"/>
      <c r="I159" s="46"/>
      <c r="J159" s="45"/>
      <c r="K159" s="47"/>
      <c r="L159" s="47"/>
      <c r="M159" s="47"/>
      <c r="N159" s="45"/>
    </row>
    <row r="160" customFormat="false" ht="18" hidden="false" customHeight="true" outlineLevel="0" collapsed="false">
      <c r="A160" s="44" t="str">
        <f aca="false">IF(B160="","",ROW()-4)</f>
        <v/>
      </c>
      <c r="B160" s="45"/>
      <c r="C160" s="46"/>
      <c r="D160" s="46"/>
      <c r="E160" s="47"/>
      <c r="F160" s="44" t="str">
        <f aca="true">IF(OR(B160="",E160="",C160="Done",C160="Cancelled"),"",E160-TODAY())</f>
        <v/>
      </c>
      <c r="G160" s="48" t="str">
        <f aca="true">IF(OR(B160="",C160="Done",C160="Cancelled"),"",IF(AND(E160&lt;&gt;"",E160&lt;TODAY()),"OVERDUE",IF(AND(E160&lt;&gt;"",E160=TODAY()),"DUE TODAY",IF(AND(K160&lt;&gt;"",K160&lt;=TODAY()),"FOLLOW UP",IF(AND(E160&lt;&gt;"",E160&lt;=TODAY()+3),"DUE SOON",IF(E160="","NO DUE DATE",""))))))</f>
        <v/>
      </c>
      <c r="H160" s="45"/>
      <c r="I160" s="46"/>
      <c r="J160" s="45"/>
      <c r="K160" s="47"/>
      <c r="L160" s="47"/>
      <c r="M160" s="47"/>
      <c r="N160" s="45"/>
    </row>
    <row r="161" customFormat="false" ht="18" hidden="false" customHeight="true" outlineLevel="0" collapsed="false">
      <c r="A161" s="44" t="str">
        <f aca="false">IF(B161="","",ROW()-4)</f>
        <v/>
      </c>
      <c r="B161" s="45"/>
      <c r="C161" s="46"/>
      <c r="D161" s="46"/>
      <c r="E161" s="47"/>
      <c r="F161" s="44" t="str">
        <f aca="true">IF(OR(B161="",E161="",C161="Done",C161="Cancelled"),"",E161-TODAY())</f>
        <v/>
      </c>
      <c r="G161" s="48" t="str">
        <f aca="true">IF(OR(B161="",C161="Done",C161="Cancelled"),"",IF(AND(E161&lt;&gt;"",E161&lt;TODAY()),"OVERDUE",IF(AND(E161&lt;&gt;"",E161=TODAY()),"DUE TODAY",IF(AND(K161&lt;&gt;"",K161&lt;=TODAY()),"FOLLOW UP",IF(AND(E161&lt;&gt;"",E161&lt;=TODAY()+3),"DUE SOON",IF(E161="","NO DUE DATE",""))))))</f>
        <v/>
      </c>
      <c r="H161" s="45"/>
      <c r="I161" s="46"/>
      <c r="J161" s="45"/>
      <c r="K161" s="47"/>
      <c r="L161" s="47"/>
      <c r="M161" s="47"/>
      <c r="N161" s="45"/>
    </row>
    <row r="162" customFormat="false" ht="18" hidden="false" customHeight="true" outlineLevel="0" collapsed="false">
      <c r="A162" s="44" t="str">
        <f aca="false">IF(B162="","",ROW()-4)</f>
        <v/>
      </c>
      <c r="B162" s="45"/>
      <c r="C162" s="46"/>
      <c r="D162" s="46"/>
      <c r="E162" s="47"/>
      <c r="F162" s="44" t="str">
        <f aca="true">IF(OR(B162="",E162="",C162="Done",C162="Cancelled"),"",E162-TODAY())</f>
        <v/>
      </c>
      <c r="G162" s="48" t="str">
        <f aca="true">IF(OR(B162="",C162="Done",C162="Cancelled"),"",IF(AND(E162&lt;&gt;"",E162&lt;TODAY()),"OVERDUE",IF(AND(E162&lt;&gt;"",E162=TODAY()),"DUE TODAY",IF(AND(K162&lt;&gt;"",K162&lt;=TODAY()),"FOLLOW UP",IF(AND(E162&lt;&gt;"",E162&lt;=TODAY()+3),"DUE SOON",IF(E162="","NO DUE DATE",""))))))</f>
        <v/>
      </c>
      <c r="H162" s="45"/>
      <c r="I162" s="46"/>
      <c r="J162" s="45"/>
      <c r="K162" s="47"/>
      <c r="L162" s="47"/>
      <c r="M162" s="47"/>
      <c r="N162" s="45"/>
    </row>
    <row r="163" customFormat="false" ht="18" hidden="false" customHeight="true" outlineLevel="0" collapsed="false">
      <c r="A163" s="44" t="str">
        <f aca="false">IF(B163="","",ROW()-4)</f>
        <v/>
      </c>
      <c r="B163" s="45"/>
      <c r="C163" s="46"/>
      <c r="D163" s="46"/>
      <c r="E163" s="47"/>
      <c r="F163" s="44" t="str">
        <f aca="true">IF(OR(B163="",E163="",C163="Done",C163="Cancelled"),"",E163-TODAY())</f>
        <v/>
      </c>
      <c r="G163" s="48" t="str">
        <f aca="true">IF(OR(B163="",C163="Done",C163="Cancelled"),"",IF(AND(E163&lt;&gt;"",E163&lt;TODAY()),"OVERDUE",IF(AND(E163&lt;&gt;"",E163=TODAY()),"DUE TODAY",IF(AND(K163&lt;&gt;"",K163&lt;=TODAY()),"FOLLOW UP",IF(AND(E163&lt;&gt;"",E163&lt;=TODAY()+3),"DUE SOON",IF(E163="","NO DUE DATE",""))))))</f>
        <v/>
      </c>
      <c r="H163" s="45"/>
      <c r="I163" s="46"/>
      <c r="J163" s="45"/>
      <c r="K163" s="47"/>
      <c r="L163" s="47"/>
      <c r="M163" s="47"/>
      <c r="N163" s="45"/>
    </row>
    <row r="164" customFormat="false" ht="18" hidden="false" customHeight="true" outlineLevel="0" collapsed="false">
      <c r="A164" s="44" t="str">
        <f aca="false">IF(B164="","",ROW()-4)</f>
        <v/>
      </c>
      <c r="B164" s="45"/>
      <c r="C164" s="46"/>
      <c r="D164" s="46"/>
      <c r="E164" s="47"/>
      <c r="F164" s="44" t="str">
        <f aca="true">IF(OR(B164="",E164="",C164="Done",C164="Cancelled"),"",E164-TODAY())</f>
        <v/>
      </c>
      <c r="G164" s="48" t="str">
        <f aca="true">IF(OR(B164="",C164="Done",C164="Cancelled"),"",IF(AND(E164&lt;&gt;"",E164&lt;TODAY()),"OVERDUE",IF(AND(E164&lt;&gt;"",E164=TODAY()),"DUE TODAY",IF(AND(K164&lt;&gt;"",K164&lt;=TODAY()),"FOLLOW UP",IF(AND(E164&lt;&gt;"",E164&lt;=TODAY()+3),"DUE SOON",IF(E164="","NO DUE DATE",""))))))</f>
        <v/>
      </c>
      <c r="H164" s="45"/>
      <c r="I164" s="46"/>
      <c r="J164" s="45"/>
      <c r="K164" s="47"/>
      <c r="L164" s="47"/>
      <c r="M164" s="47"/>
      <c r="N164" s="45"/>
    </row>
    <row r="165" customFormat="false" ht="18" hidden="false" customHeight="true" outlineLevel="0" collapsed="false">
      <c r="A165" s="44" t="str">
        <f aca="false">IF(B165="","",ROW()-4)</f>
        <v/>
      </c>
      <c r="B165" s="45"/>
      <c r="C165" s="46"/>
      <c r="D165" s="46"/>
      <c r="E165" s="47"/>
      <c r="F165" s="44" t="str">
        <f aca="true">IF(OR(B165="",E165="",C165="Done",C165="Cancelled"),"",E165-TODAY())</f>
        <v/>
      </c>
      <c r="G165" s="48" t="str">
        <f aca="true">IF(OR(B165="",C165="Done",C165="Cancelled"),"",IF(AND(E165&lt;&gt;"",E165&lt;TODAY()),"OVERDUE",IF(AND(E165&lt;&gt;"",E165=TODAY()),"DUE TODAY",IF(AND(K165&lt;&gt;"",K165&lt;=TODAY()),"FOLLOW UP",IF(AND(E165&lt;&gt;"",E165&lt;=TODAY()+3),"DUE SOON",IF(E165="","NO DUE DATE",""))))))</f>
        <v/>
      </c>
      <c r="H165" s="45"/>
      <c r="I165" s="46"/>
      <c r="J165" s="45"/>
      <c r="K165" s="47"/>
      <c r="L165" s="47"/>
      <c r="M165" s="47"/>
      <c r="N165" s="45"/>
    </row>
    <row r="166" customFormat="false" ht="18" hidden="false" customHeight="true" outlineLevel="0" collapsed="false">
      <c r="A166" s="44" t="str">
        <f aca="false">IF(B166="","",ROW()-4)</f>
        <v/>
      </c>
      <c r="B166" s="45"/>
      <c r="C166" s="46"/>
      <c r="D166" s="46"/>
      <c r="E166" s="47"/>
      <c r="F166" s="44" t="str">
        <f aca="true">IF(OR(B166="",E166="",C166="Done",C166="Cancelled"),"",E166-TODAY())</f>
        <v/>
      </c>
      <c r="G166" s="48" t="str">
        <f aca="true">IF(OR(B166="",C166="Done",C166="Cancelled"),"",IF(AND(E166&lt;&gt;"",E166&lt;TODAY()),"OVERDUE",IF(AND(E166&lt;&gt;"",E166=TODAY()),"DUE TODAY",IF(AND(K166&lt;&gt;"",K166&lt;=TODAY()),"FOLLOW UP",IF(AND(E166&lt;&gt;"",E166&lt;=TODAY()+3),"DUE SOON",IF(E166="","NO DUE DATE",""))))))</f>
        <v/>
      </c>
      <c r="H166" s="45"/>
      <c r="I166" s="46"/>
      <c r="J166" s="45"/>
      <c r="K166" s="47"/>
      <c r="L166" s="47"/>
      <c r="M166" s="47"/>
      <c r="N166" s="45"/>
    </row>
    <row r="167" customFormat="false" ht="18" hidden="false" customHeight="true" outlineLevel="0" collapsed="false">
      <c r="A167" s="44" t="str">
        <f aca="false">IF(B167="","",ROW()-4)</f>
        <v/>
      </c>
      <c r="B167" s="45"/>
      <c r="C167" s="46"/>
      <c r="D167" s="46"/>
      <c r="E167" s="47"/>
      <c r="F167" s="44" t="str">
        <f aca="true">IF(OR(B167="",E167="",C167="Done",C167="Cancelled"),"",E167-TODAY())</f>
        <v/>
      </c>
      <c r="G167" s="48" t="str">
        <f aca="true">IF(OR(B167="",C167="Done",C167="Cancelled"),"",IF(AND(E167&lt;&gt;"",E167&lt;TODAY()),"OVERDUE",IF(AND(E167&lt;&gt;"",E167=TODAY()),"DUE TODAY",IF(AND(K167&lt;&gt;"",K167&lt;=TODAY()),"FOLLOW UP",IF(AND(E167&lt;&gt;"",E167&lt;=TODAY()+3),"DUE SOON",IF(E167="","NO DUE DATE",""))))))</f>
        <v/>
      </c>
      <c r="H167" s="45"/>
      <c r="I167" s="46"/>
      <c r="J167" s="45"/>
      <c r="K167" s="47"/>
      <c r="L167" s="47"/>
      <c r="M167" s="47"/>
      <c r="N167" s="45"/>
    </row>
    <row r="168" customFormat="false" ht="18" hidden="false" customHeight="true" outlineLevel="0" collapsed="false">
      <c r="A168" s="44" t="str">
        <f aca="false">IF(B168="","",ROW()-4)</f>
        <v/>
      </c>
      <c r="B168" s="45"/>
      <c r="C168" s="46"/>
      <c r="D168" s="46"/>
      <c r="E168" s="47"/>
      <c r="F168" s="44" t="str">
        <f aca="true">IF(OR(B168="",E168="",C168="Done",C168="Cancelled"),"",E168-TODAY())</f>
        <v/>
      </c>
      <c r="G168" s="48" t="str">
        <f aca="true">IF(OR(B168="",C168="Done",C168="Cancelled"),"",IF(AND(E168&lt;&gt;"",E168&lt;TODAY()),"OVERDUE",IF(AND(E168&lt;&gt;"",E168=TODAY()),"DUE TODAY",IF(AND(K168&lt;&gt;"",K168&lt;=TODAY()),"FOLLOW UP",IF(AND(E168&lt;&gt;"",E168&lt;=TODAY()+3),"DUE SOON",IF(E168="","NO DUE DATE",""))))))</f>
        <v/>
      </c>
      <c r="H168" s="45"/>
      <c r="I168" s="46"/>
      <c r="J168" s="45"/>
      <c r="K168" s="47"/>
      <c r="L168" s="47"/>
      <c r="M168" s="47"/>
      <c r="N168" s="45"/>
    </row>
    <row r="169" customFormat="false" ht="18" hidden="false" customHeight="true" outlineLevel="0" collapsed="false">
      <c r="A169" s="44" t="str">
        <f aca="false">IF(B169="","",ROW()-4)</f>
        <v/>
      </c>
      <c r="B169" s="45"/>
      <c r="C169" s="46"/>
      <c r="D169" s="46"/>
      <c r="E169" s="47"/>
      <c r="F169" s="44" t="str">
        <f aca="true">IF(OR(B169="",E169="",C169="Done",C169="Cancelled"),"",E169-TODAY())</f>
        <v/>
      </c>
      <c r="G169" s="48" t="str">
        <f aca="true">IF(OR(B169="",C169="Done",C169="Cancelled"),"",IF(AND(E169&lt;&gt;"",E169&lt;TODAY()),"OVERDUE",IF(AND(E169&lt;&gt;"",E169=TODAY()),"DUE TODAY",IF(AND(K169&lt;&gt;"",K169&lt;=TODAY()),"FOLLOW UP",IF(AND(E169&lt;&gt;"",E169&lt;=TODAY()+3),"DUE SOON",IF(E169="","NO DUE DATE",""))))))</f>
        <v/>
      </c>
      <c r="H169" s="45"/>
      <c r="I169" s="46"/>
      <c r="J169" s="45"/>
      <c r="K169" s="47"/>
      <c r="L169" s="47"/>
      <c r="M169" s="47"/>
      <c r="N169" s="45"/>
    </row>
    <row r="170" customFormat="false" ht="18" hidden="false" customHeight="true" outlineLevel="0" collapsed="false">
      <c r="A170" s="44" t="str">
        <f aca="false">IF(B170="","",ROW()-4)</f>
        <v/>
      </c>
      <c r="B170" s="45"/>
      <c r="C170" s="46"/>
      <c r="D170" s="46"/>
      <c r="E170" s="47"/>
      <c r="F170" s="44" t="str">
        <f aca="true">IF(OR(B170="",E170="",C170="Done",C170="Cancelled"),"",E170-TODAY())</f>
        <v/>
      </c>
      <c r="G170" s="48" t="str">
        <f aca="true">IF(OR(B170="",C170="Done",C170="Cancelled"),"",IF(AND(E170&lt;&gt;"",E170&lt;TODAY()),"OVERDUE",IF(AND(E170&lt;&gt;"",E170=TODAY()),"DUE TODAY",IF(AND(K170&lt;&gt;"",K170&lt;=TODAY()),"FOLLOW UP",IF(AND(E170&lt;&gt;"",E170&lt;=TODAY()+3),"DUE SOON",IF(E170="","NO DUE DATE",""))))))</f>
        <v/>
      </c>
      <c r="H170" s="45"/>
      <c r="I170" s="46"/>
      <c r="J170" s="45"/>
      <c r="K170" s="47"/>
      <c r="L170" s="47"/>
      <c r="M170" s="47"/>
      <c r="N170" s="45"/>
    </row>
    <row r="171" customFormat="false" ht="18" hidden="false" customHeight="true" outlineLevel="0" collapsed="false">
      <c r="A171" s="44" t="str">
        <f aca="false">IF(B171="","",ROW()-4)</f>
        <v/>
      </c>
      <c r="B171" s="45"/>
      <c r="C171" s="46"/>
      <c r="D171" s="46"/>
      <c r="E171" s="47"/>
      <c r="F171" s="44" t="str">
        <f aca="true">IF(OR(B171="",E171="",C171="Done",C171="Cancelled"),"",E171-TODAY())</f>
        <v/>
      </c>
      <c r="G171" s="48" t="str">
        <f aca="true">IF(OR(B171="",C171="Done",C171="Cancelled"),"",IF(AND(E171&lt;&gt;"",E171&lt;TODAY()),"OVERDUE",IF(AND(E171&lt;&gt;"",E171=TODAY()),"DUE TODAY",IF(AND(K171&lt;&gt;"",K171&lt;=TODAY()),"FOLLOW UP",IF(AND(E171&lt;&gt;"",E171&lt;=TODAY()+3),"DUE SOON",IF(E171="","NO DUE DATE",""))))))</f>
        <v/>
      </c>
      <c r="H171" s="45"/>
      <c r="I171" s="46"/>
      <c r="J171" s="45"/>
      <c r="K171" s="47"/>
      <c r="L171" s="47"/>
      <c r="M171" s="47"/>
      <c r="N171" s="45"/>
    </row>
    <row r="172" customFormat="false" ht="18" hidden="false" customHeight="true" outlineLevel="0" collapsed="false">
      <c r="A172" s="44" t="str">
        <f aca="false">IF(B172="","",ROW()-4)</f>
        <v/>
      </c>
      <c r="B172" s="45"/>
      <c r="C172" s="46"/>
      <c r="D172" s="46"/>
      <c r="E172" s="47"/>
      <c r="F172" s="44" t="str">
        <f aca="true">IF(OR(B172="",E172="",C172="Done",C172="Cancelled"),"",E172-TODAY())</f>
        <v/>
      </c>
      <c r="G172" s="48" t="str">
        <f aca="true">IF(OR(B172="",C172="Done",C172="Cancelled"),"",IF(AND(E172&lt;&gt;"",E172&lt;TODAY()),"OVERDUE",IF(AND(E172&lt;&gt;"",E172=TODAY()),"DUE TODAY",IF(AND(K172&lt;&gt;"",K172&lt;=TODAY()),"FOLLOW UP",IF(AND(E172&lt;&gt;"",E172&lt;=TODAY()+3),"DUE SOON",IF(E172="","NO DUE DATE",""))))))</f>
        <v/>
      </c>
      <c r="H172" s="45"/>
      <c r="I172" s="46"/>
      <c r="J172" s="45"/>
      <c r="K172" s="47"/>
      <c r="L172" s="47"/>
      <c r="M172" s="47"/>
      <c r="N172" s="45"/>
    </row>
    <row r="173" customFormat="false" ht="18" hidden="false" customHeight="true" outlineLevel="0" collapsed="false">
      <c r="A173" s="44" t="str">
        <f aca="false">IF(B173="","",ROW()-4)</f>
        <v/>
      </c>
      <c r="B173" s="45"/>
      <c r="C173" s="46"/>
      <c r="D173" s="46"/>
      <c r="E173" s="47"/>
      <c r="F173" s="44" t="str">
        <f aca="true">IF(OR(B173="",E173="",C173="Done",C173="Cancelled"),"",E173-TODAY())</f>
        <v/>
      </c>
      <c r="G173" s="48" t="str">
        <f aca="true">IF(OR(B173="",C173="Done",C173="Cancelled"),"",IF(AND(E173&lt;&gt;"",E173&lt;TODAY()),"OVERDUE",IF(AND(E173&lt;&gt;"",E173=TODAY()),"DUE TODAY",IF(AND(K173&lt;&gt;"",K173&lt;=TODAY()),"FOLLOW UP",IF(AND(E173&lt;&gt;"",E173&lt;=TODAY()+3),"DUE SOON",IF(E173="","NO DUE DATE",""))))))</f>
        <v/>
      </c>
      <c r="H173" s="45"/>
      <c r="I173" s="46"/>
      <c r="J173" s="45"/>
      <c r="K173" s="47"/>
      <c r="L173" s="47"/>
      <c r="M173" s="47"/>
      <c r="N173" s="45"/>
    </row>
    <row r="174" customFormat="false" ht="18" hidden="false" customHeight="true" outlineLevel="0" collapsed="false">
      <c r="A174" s="44" t="str">
        <f aca="false">IF(B174="","",ROW()-4)</f>
        <v/>
      </c>
      <c r="B174" s="45"/>
      <c r="C174" s="46"/>
      <c r="D174" s="46"/>
      <c r="E174" s="47"/>
      <c r="F174" s="44" t="str">
        <f aca="true">IF(OR(B174="",E174="",C174="Done",C174="Cancelled"),"",E174-TODAY())</f>
        <v/>
      </c>
      <c r="G174" s="48" t="str">
        <f aca="true">IF(OR(B174="",C174="Done",C174="Cancelled"),"",IF(AND(E174&lt;&gt;"",E174&lt;TODAY()),"OVERDUE",IF(AND(E174&lt;&gt;"",E174=TODAY()),"DUE TODAY",IF(AND(K174&lt;&gt;"",K174&lt;=TODAY()),"FOLLOW UP",IF(AND(E174&lt;&gt;"",E174&lt;=TODAY()+3),"DUE SOON",IF(E174="","NO DUE DATE",""))))))</f>
        <v/>
      </c>
      <c r="H174" s="45"/>
      <c r="I174" s="46"/>
      <c r="J174" s="45"/>
      <c r="K174" s="47"/>
      <c r="L174" s="47"/>
      <c r="M174" s="47"/>
      <c r="N174" s="45"/>
    </row>
    <row r="175" customFormat="false" ht="18" hidden="false" customHeight="true" outlineLevel="0" collapsed="false">
      <c r="A175" s="44" t="str">
        <f aca="false">IF(B175="","",ROW()-4)</f>
        <v/>
      </c>
      <c r="B175" s="45"/>
      <c r="C175" s="46"/>
      <c r="D175" s="46"/>
      <c r="E175" s="47"/>
      <c r="F175" s="44" t="str">
        <f aca="true">IF(OR(B175="",E175="",C175="Done",C175="Cancelled"),"",E175-TODAY())</f>
        <v/>
      </c>
      <c r="G175" s="48" t="str">
        <f aca="true">IF(OR(B175="",C175="Done",C175="Cancelled"),"",IF(AND(E175&lt;&gt;"",E175&lt;TODAY()),"OVERDUE",IF(AND(E175&lt;&gt;"",E175=TODAY()),"DUE TODAY",IF(AND(K175&lt;&gt;"",K175&lt;=TODAY()),"FOLLOW UP",IF(AND(E175&lt;&gt;"",E175&lt;=TODAY()+3),"DUE SOON",IF(E175="","NO DUE DATE",""))))))</f>
        <v/>
      </c>
      <c r="H175" s="45"/>
      <c r="I175" s="46"/>
      <c r="J175" s="45"/>
      <c r="K175" s="47"/>
      <c r="L175" s="47"/>
      <c r="M175" s="47"/>
      <c r="N175" s="45"/>
    </row>
    <row r="176" customFormat="false" ht="18" hidden="false" customHeight="true" outlineLevel="0" collapsed="false">
      <c r="A176" s="44" t="str">
        <f aca="false">IF(B176="","",ROW()-4)</f>
        <v/>
      </c>
      <c r="B176" s="45"/>
      <c r="C176" s="46"/>
      <c r="D176" s="46"/>
      <c r="E176" s="47"/>
      <c r="F176" s="44" t="str">
        <f aca="true">IF(OR(B176="",E176="",C176="Done",C176="Cancelled"),"",E176-TODAY())</f>
        <v/>
      </c>
      <c r="G176" s="48" t="str">
        <f aca="true">IF(OR(B176="",C176="Done",C176="Cancelled"),"",IF(AND(E176&lt;&gt;"",E176&lt;TODAY()),"OVERDUE",IF(AND(E176&lt;&gt;"",E176=TODAY()),"DUE TODAY",IF(AND(K176&lt;&gt;"",K176&lt;=TODAY()),"FOLLOW UP",IF(AND(E176&lt;&gt;"",E176&lt;=TODAY()+3),"DUE SOON",IF(E176="","NO DUE DATE",""))))))</f>
        <v/>
      </c>
      <c r="H176" s="45"/>
      <c r="I176" s="46"/>
      <c r="J176" s="45"/>
      <c r="K176" s="47"/>
      <c r="L176" s="47"/>
      <c r="M176" s="47"/>
      <c r="N176" s="45"/>
    </row>
    <row r="177" customFormat="false" ht="18" hidden="false" customHeight="true" outlineLevel="0" collapsed="false">
      <c r="A177" s="44" t="str">
        <f aca="false">IF(B177="","",ROW()-4)</f>
        <v/>
      </c>
      <c r="B177" s="45"/>
      <c r="C177" s="46"/>
      <c r="D177" s="46"/>
      <c r="E177" s="47"/>
      <c r="F177" s="44" t="str">
        <f aca="true">IF(OR(B177="",E177="",C177="Done",C177="Cancelled"),"",E177-TODAY())</f>
        <v/>
      </c>
      <c r="G177" s="48" t="str">
        <f aca="true">IF(OR(B177="",C177="Done",C177="Cancelled"),"",IF(AND(E177&lt;&gt;"",E177&lt;TODAY()),"OVERDUE",IF(AND(E177&lt;&gt;"",E177=TODAY()),"DUE TODAY",IF(AND(K177&lt;&gt;"",K177&lt;=TODAY()),"FOLLOW UP",IF(AND(E177&lt;&gt;"",E177&lt;=TODAY()+3),"DUE SOON",IF(E177="","NO DUE DATE",""))))))</f>
        <v/>
      </c>
      <c r="H177" s="45"/>
      <c r="I177" s="46"/>
      <c r="J177" s="45"/>
      <c r="K177" s="47"/>
      <c r="L177" s="47"/>
      <c r="M177" s="47"/>
      <c r="N177" s="45"/>
    </row>
    <row r="178" customFormat="false" ht="18" hidden="false" customHeight="true" outlineLevel="0" collapsed="false">
      <c r="A178" s="44" t="str">
        <f aca="false">IF(B178="","",ROW()-4)</f>
        <v/>
      </c>
      <c r="B178" s="45"/>
      <c r="C178" s="46"/>
      <c r="D178" s="46"/>
      <c r="E178" s="47"/>
      <c r="F178" s="44" t="str">
        <f aca="true">IF(OR(B178="",E178="",C178="Done",C178="Cancelled"),"",E178-TODAY())</f>
        <v/>
      </c>
      <c r="G178" s="48" t="str">
        <f aca="true">IF(OR(B178="",C178="Done",C178="Cancelled"),"",IF(AND(E178&lt;&gt;"",E178&lt;TODAY()),"OVERDUE",IF(AND(E178&lt;&gt;"",E178=TODAY()),"DUE TODAY",IF(AND(K178&lt;&gt;"",K178&lt;=TODAY()),"FOLLOW UP",IF(AND(E178&lt;&gt;"",E178&lt;=TODAY()+3),"DUE SOON",IF(E178="","NO DUE DATE",""))))))</f>
        <v/>
      </c>
      <c r="H178" s="45"/>
      <c r="I178" s="46"/>
      <c r="J178" s="45"/>
      <c r="K178" s="47"/>
      <c r="L178" s="47"/>
      <c r="M178" s="47"/>
      <c r="N178" s="45"/>
    </row>
    <row r="179" customFormat="false" ht="18" hidden="false" customHeight="true" outlineLevel="0" collapsed="false">
      <c r="A179" s="44" t="str">
        <f aca="false">IF(B179="","",ROW()-4)</f>
        <v/>
      </c>
      <c r="B179" s="45"/>
      <c r="C179" s="46"/>
      <c r="D179" s="46"/>
      <c r="E179" s="47"/>
      <c r="F179" s="44" t="str">
        <f aca="true">IF(OR(B179="",E179="",C179="Done",C179="Cancelled"),"",E179-TODAY())</f>
        <v/>
      </c>
      <c r="G179" s="48" t="str">
        <f aca="true">IF(OR(B179="",C179="Done",C179="Cancelled"),"",IF(AND(E179&lt;&gt;"",E179&lt;TODAY()),"OVERDUE",IF(AND(E179&lt;&gt;"",E179=TODAY()),"DUE TODAY",IF(AND(K179&lt;&gt;"",K179&lt;=TODAY()),"FOLLOW UP",IF(AND(E179&lt;&gt;"",E179&lt;=TODAY()+3),"DUE SOON",IF(E179="","NO DUE DATE",""))))))</f>
        <v/>
      </c>
      <c r="H179" s="45"/>
      <c r="I179" s="46"/>
      <c r="J179" s="45"/>
      <c r="K179" s="47"/>
      <c r="L179" s="47"/>
      <c r="M179" s="47"/>
      <c r="N179" s="45"/>
    </row>
    <row r="180" customFormat="false" ht="18" hidden="false" customHeight="true" outlineLevel="0" collapsed="false">
      <c r="A180" s="44" t="str">
        <f aca="false">IF(B180="","",ROW()-4)</f>
        <v/>
      </c>
      <c r="B180" s="45"/>
      <c r="C180" s="46"/>
      <c r="D180" s="46"/>
      <c r="E180" s="47"/>
      <c r="F180" s="44" t="str">
        <f aca="true">IF(OR(B180="",E180="",C180="Done",C180="Cancelled"),"",E180-TODAY())</f>
        <v/>
      </c>
      <c r="G180" s="48" t="str">
        <f aca="true">IF(OR(B180="",C180="Done",C180="Cancelled"),"",IF(AND(E180&lt;&gt;"",E180&lt;TODAY()),"OVERDUE",IF(AND(E180&lt;&gt;"",E180=TODAY()),"DUE TODAY",IF(AND(K180&lt;&gt;"",K180&lt;=TODAY()),"FOLLOW UP",IF(AND(E180&lt;&gt;"",E180&lt;=TODAY()+3),"DUE SOON",IF(E180="","NO DUE DATE",""))))))</f>
        <v/>
      </c>
      <c r="H180" s="45"/>
      <c r="I180" s="46"/>
      <c r="J180" s="45"/>
      <c r="K180" s="47"/>
      <c r="L180" s="47"/>
      <c r="M180" s="47"/>
      <c r="N180" s="45"/>
    </row>
    <row r="181" customFormat="false" ht="18" hidden="false" customHeight="true" outlineLevel="0" collapsed="false">
      <c r="A181" s="44" t="str">
        <f aca="false">IF(B181="","",ROW()-4)</f>
        <v/>
      </c>
      <c r="B181" s="45"/>
      <c r="C181" s="46"/>
      <c r="D181" s="46"/>
      <c r="E181" s="47"/>
      <c r="F181" s="44" t="str">
        <f aca="true">IF(OR(B181="",E181="",C181="Done",C181="Cancelled"),"",E181-TODAY())</f>
        <v/>
      </c>
      <c r="G181" s="48" t="str">
        <f aca="true">IF(OR(B181="",C181="Done",C181="Cancelled"),"",IF(AND(E181&lt;&gt;"",E181&lt;TODAY()),"OVERDUE",IF(AND(E181&lt;&gt;"",E181=TODAY()),"DUE TODAY",IF(AND(K181&lt;&gt;"",K181&lt;=TODAY()),"FOLLOW UP",IF(AND(E181&lt;&gt;"",E181&lt;=TODAY()+3),"DUE SOON",IF(E181="","NO DUE DATE",""))))))</f>
        <v/>
      </c>
      <c r="H181" s="45"/>
      <c r="I181" s="46"/>
      <c r="J181" s="45"/>
      <c r="K181" s="47"/>
      <c r="L181" s="47"/>
      <c r="M181" s="47"/>
      <c r="N181" s="45"/>
    </row>
    <row r="182" customFormat="false" ht="18" hidden="false" customHeight="true" outlineLevel="0" collapsed="false">
      <c r="A182" s="44" t="str">
        <f aca="false">IF(B182="","",ROW()-4)</f>
        <v/>
      </c>
      <c r="B182" s="45"/>
      <c r="C182" s="46"/>
      <c r="D182" s="46"/>
      <c r="E182" s="47"/>
      <c r="F182" s="44" t="str">
        <f aca="true">IF(OR(B182="",E182="",C182="Done",C182="Cancelled"),"",E182-TODAY())</f>
        <v/>
      </c>
      <c r="G182" s="48" t="str">
        <f aca="true">IF(OR(B182="",C182="Done",C182="Cancelled"),"",IF(AND(E182&lt;&gt;"",E182&lt;TODAY()),"OVERDUE",IF(AND(E182&lt;&gt;"",E182=TODAY()),"DUE TODAY",IF(AND(K182&lt;&gt;"",K182&lt;=TODAY()),"FOLLOW UP",IF(AND(E182&lt;&gt;"",E182&lt;=TODAY()+3),"DUE SOON",IF(E182="","NO DUE DATE",""))))))</f>
        <v/>
      </c>
      <c r="H182" s="45"/>
      <c r="I182" s="46"/>
      <c r="J182" s="45"/>
      <c r="K182" s="47"/>
      <c r="L182" s="47"/>
      <c r="M182" s="47"/>
      <c r="N182" s="45"/>
    </row>
    <row r="183" customFormat="false" ht="18" hidden="false" customHeight="true" outlineLevel="0" collapsed="false">
      <c r="A183" s="44" t="str">
        <f aca="false">IF(B183="","",ROW()-4)</f>
        <v/>
      </c>
      <c r="B183" s="45"/>
      <c r="C183" s="46"/>
      <c r="D183" s="46"/>
      <c r="E183" s="47"/>
      <c r="F183" s="44" t="str">
        <f aca="true">IF(OR(B183="",E183="",C183="Done",C183="Cancelled"),"",E183-TODAY())</f>
        <v/>
      </c>
      <c r="G183" s="48" t="str">
        <f aca="true">IF(OR(B183="",C183="Done",C183="Cancelled"),"",IF(AND(E183&lt;&gt;"",E183&lt;TODAY()),"OVERDUE",IF(AND(E183&lt;&gt;"",E183=TODAY()),"DUE TODAY",IF(AND(K183&lt;&gt;"",K183&lt;=TODAY()),"FOLLOW UP",IF(AND(E183&lt;&gt;"",E183&lt;=TODAY()+3),"DUE SOON",IF(E183="","NO DUE DATE",""))))))</f>
        <v/>
      </c>
      <c r="H183" s="45"/>
      <c r="I183" s="46"/>
      <c r="J183" s="45"/>
      <c r="K183" s="47"/>
      <c r="L183" s="47"/>
      <c r="M183" s="47"/>
      <c r="N183" s="45"/>
    </row>
    <row r="184" customFormat="false" ht="18" hidden="false" customHeight="true" outlineLevel="0" collapsed="false">
      <c r="A184" s="44" t="str">
        <f aca="false">IF(B184="","",ROW()-4)</f>
        <v/>
      </c>
      <c r="B184" s="45"/>
      <c r="C184" s="46"/>
      <c r="D184" s="46"/>
      <c r="E184" s="47"/>
      <c r="F184" s="44" t="str">
        <f aca="true">IF(OR(B184="",E184="",C184="Done",C184="Cancelled"),"",E184-TODAY())</f>
        <v/>
      </c>
      <c r="G184" s="48" t="str">
        <f aca="true">IF(OR(B184="",C184="Done",C184="Cancelled"),"",IF(AND(E184&lt;&gt;"",E184&lt;TODAY()),"OVERDUE",IF(AND(E184&lt;&gt;"",E184=TODAY()),"DUE TODAY",IF(AND(K184&lt;&gt;"",K184&lt;=TODAY()),"FOLLOW UP",IF(AND(E184&lt;&gt;"",E184&lt;=TODAY()+3),"DUE SOON",IF(E184="","NO DUE DATE",""))))))</f>
        <v/>
      </c>
      <c r="H184" s="45"/>
      <c r="I184" s="46"/>
      <c r="J184" s="45"/>
      <c r="K184" s="47"/>
      <c r="L184" s="47"/>
      <c r="M184" s="47"/>
      <c r="N184" s="45"/>
    </row>
    <row r="185" customFormat="false" ht="18" hidden="false" customHeight="true" outlineLevel="0" collapsed="false">
      <c r="A185" s="44" t="str">
        <f aca="false">IF(B185="","",ROW()-4)</f>
        <v/>
      </c>
      <c r="B185" s="45"/>
      <c r="C185" s="46"/>
      <c r="D185" s="46"/>
      <c r="E185" s="47"/>
      <c r="F185" s="44" t="str">
        <f aca="true">IF(OR(B185="",E185="",C185="Done",C185="Cancelled"),"",E185-TODAY())</f>
        <v/>
      </c>
      <c r="G185" s="48" t="str">
        <f aca="true">IF(OR(B185="",C185="Done",C185="Cancelled"),"",IF(AND(E185&lt;&gt;"",E185&lt;TODAY()),"OVERDUE",IF(AND(E185&lt;&gt;"",E185=TODAY()),"DUE TODAY",IF(AND(K185&lt;&gt;"",K185&lt;=TODAY()),"FOLLOW UP",IF(AND(E185&lt;&gt;"",E185&lt;=TODAY()+3),"DUE SOON",IF(E185="","NO DUE DATE",""))))))</f>
        <v/>
      </c>
      <c r="H185" s="45"/>
      <c r="I185" s="46"/>
      <c r="J185" s="45"/>
      <c r="K185" s="47"/>
      <c r="L185" s="47"/>
      <c r="M185" s="47"/>
      <c r="N185" s="45"/>
    </row>
    <row r="186" customFormat="false" ht="18" hidden="false" customHeight="true" outlineLevel="0" collapsed="false">
      <c r="A186" s="44" t="str">
        <f aca="false">IF(B186="","",ROW()-4)</f>
        <v/>
      </c>
      <c r="B186" s="45"/>
      <c r="C186" s="46"/>
      <c r="D186" s="46"/>
      <c r="E186" s="47"/>
      <c r="F186" s="44" t="str">
        <f aca="true">IF(OR(B186="",E186="",C186="Done",C186="Cancelled"),"",E186-TODAY())</f>
        <v/>
      </c>
      <c r="G186" s="48" t="str">
        <f aca="true">IF(OR(B186="",C186="Done",C186="Cancelled"),"",IF(AND(E186&lt;&gt;"",E186&lt;TODAY()),"OVERDUE",IF(AND(E186&lt;&gt;"",E186=TODAY()),"DUE TODAY",IF(AND(K186&lt;&gt;"",K186&lt;=TODAY()),"FOLLOW UP",IF(AND(E186&lt;&gt;"",E186&lt;=TODAY()+3),"DUE SOON",IF(E186="","NO DUE DATE",""))))))</f>
        <v/>
      </c>
      <c r="H186" s="45"/>
      <c r="I186" s="46"/>
      <c r="J186" s="45"/>
      <c r="K186" s="47"/>
      <c r="L186" s="47"/>
      <c r="M186" s="47"/>
      <c r="N186" s="45"/>
    </row>
    <row r="187" customFormat="false" ht="18" hidden="false" customHeight="true" outlineLevel="0" collapsed="false">
      <c r="A187" s="44" t="str">
        <f aca="false">IF(B187="","",ROW()-4)</f>
        <v/>
      </c>
      <c r="B187" s="45"/>
      <c r="C187" s="46"/>
      <c r="D187" s="46"/>
      <c r="E187" s="47"/>
      <c r="F187" s="44" t="str">
        <f aca="true">IF(OR(B187="",E187="",C187="Done",C187="Cancelled"),"",E187-TODAY())</f>
        <v/>
      </c>
      <c r="G187" s="48" t="str">
        <f aca="true">IF(OR(B187="",C187="Done",C187="Cancelled"),"",IF(AND(E187&lt;&gt;"",E187&lt;TODAY()),"OVERDUE",IF(AND(E187&lt;&gt;"",E187=TODAY()),"DUE TODAY",IF(AND(K187&lt;&gt;"",K187&lt;=TODAY()),"FOLLOW UP",IF(AND(E187&lt;&gt;"",E187&lt;=TODAY()+3),"DUE SOON",IF(E187="","NO DUE DATE",""))))))</f>
        <v/>
      </c>
      <c r="H187" s="45"/>
      <c r="I187" s="46"/>
      <c r="J187" s="45"/>
      <c r="K187" s="47"/>
      <c r="L187" s="47"/>
      <c r="M187" s="47"/>
      <c r="N187" s="45"/>
    </row>
    <row r="188" customFormat="false" ht="18" hidden="false" customHeight="true" outlineLevel="0" collapsed="false">
      <c r="A188" s="44" t="str">
        <f aca="false">IF(B188="","",ROW()-4)</f>
        <v/>
      </c>
      <c r="B188" s="45"/>
      <c r="C188" s="46"/>
      <c r="D188" s="46"/>
      <c r="E188" s="47"/>
      <c r="F188" s="44" t="str">
        <f aca="true">IF(OR(B188="",E188="",C188="Done",C188="Cancelled"),"",E188-TODAY())</f>
        <v/>
      </c>
      <c r="G188" s="48" t="str">
        <f aca="true">IF(OR(B188="",C188="Done",C188="Cancelled"),"",IF(AND(E188&lt;&gt;"",E188&lt;TODAY()),"OVERDUE",IF(AND(E188&lt;&gt;"",E188=TODAY()),"DUE TODAY",IF(AND(K188&lt;&gt;"",K188&lt;=TODAY()),"FOLLOW UP",IF(AND(E188&lt;&gt;"",E188&lt;=TODAY()+3),"DUE SOON",IF(E188="","NO DUE DATE",""))))))</f>
        <v/>
      </c>
      <c r="H188" s="45"/>
      <c r="I188" s="46"/>
      <c r="J188" s="45"/>
      <c r="K188" s="47"/>
      <c r="L188" s="47"/>
      <c r="M188" s="47"/>
      <c r="N188" s="45"/>
    </row>
    <row r="189" customFormat="false" ht="18" hidden="false" customHeight="true" outlineLevel="0" collapsed="false">
      <c r="A189" s="44" t="str">
        <f aca="false">IF(B189="","",ROW()-4)</f>
        <v/>
      </c>
      <c r="B189" s="45"/>
      <c r="C189" s="46"/>
      <c r="D189" s="46"/>
      <c r="E189" s="47"/>
      <c r="F189" s="44" t="str">
        <f aca="true">IF(OR(B189="",E189="",C189="Done",C189="Cancelled"),"",E189-TODAY())</f>
        <v/>
      </c>
      <c r="G189" s="48" t="str">
        <f aca="true">IF(OR(B189="",C189="Done",C189="Cancelled"),"",IF(AND(E189&lt;&gt;"",E189&lt;TODAY()),"OVERDUE",IF(AND(E189&lt;&gt;"",E189=TODAY()),"DUE TODAY",IF(AND(K189&lt;&gt;"",K189&lt;=TODAY()),"FOLLOW UP",IF(AND(E189&lt;&gt;"",E189&lt;=TODAY()+3),"DUE SOON",IF(E189="","NO DUE DATE",""))))))</f>
        <v/>
      </c>
      <c r="H189" s="45"/>
      <c r="I189" s="46"/>
      <c r="J189" s="45"/>
      <c r="K189" s="47"/>
      <c r="L189" s="47"/>
      <c r="M189" s="47"/>
      <c r="N189" s="45"/>
    </row>
    <row r="190" customFormat="false" ht="18" hidden="false" customHeight="true" outlineLevel="0" collapsed="false">
      <c r="A190" s="44" t="str">
        <f aca="false">IF(B190="","",ROW()-4)</f>
        <v/>
      </c>
      <c r="B190" s="45"/>
      <c r="C190" s="46"/>
      <c r="D190" s="46"/>
      <c r="E190" s="47"/>
      <c r="F190" s="44" t="str">
        <f aca="true">IF(OR(B190="",E190="",C190="Done",C190="Cancelled"),"",E190-TODAY())</f>
        <v/>
      </c>
      <c r="G190" s="48" t="str">
        <f aca="true">IF(OR(B190="",C190="Done",C190="Cancelled"),"",IF(AND(E190&lt;&gt;"",E190&lt;TODAY()),"OVERDUE",IF(AND(E190&lt;&gt;"",E190=TODAY()),"DUE TODAY",IF(AND(K190&lt;&gt;"",K190&lt;=TODAY()),"FOLLOW UP",IF(AND(E190&lt;&gt;"",E190&lt;=TODAY()+3),"DUE SOON",IF(E190="","NO DUE DATE",""))))))</f>
        <v/>
      </c>
      <c r="H190" s="45"/>
      <c r="I190" s="46"/>
      <c r="J190" s="45"/>
      <c r="K190" s="47"/>
      <c r="L190" s="47"/>
      <c r="M190" s="47"/>
      <c r="N190" s="45"/>
    </row>
    <row r="191" customFormat="false" ht="18" hidden="false" customHeight="true" outlineLevel="0" collapsed="false">
      <c r="A191" s="44" t="str">
        <f aca="false">IF(B191="","",ROW()-4)</f>
        <v/>
      </c>
      <c r="B191" s="45"/>
      <c r="C191" s="46"/>
      <c r="D191" s="46"/>
      <c r="E191" s="47"/>
      <c r="F191" s="44" t="str">
        <f aca="true">IF(OR(B191="",E191="",C191="Done",C191="Cancelled"),"",E191-TODAY())</f>
        <v/>
      </c>
      <c r="G191" s="48" t="str">
        <f aca="true">IF(OR(B191="",C191="Done",C191="Cancelled"),"",IF(AND(E191&lt;&gt;"",E191&lt;TODAY()),"OVERDUE",IF(AND(E191&lt;&gt;"",E191=TODAY()),"DUE TODAY",IF(AND(K191&lt;&gt;"",K191&lt;=TODAY()),"FOLLOW UP",IF(AND(E191&lt;&gt;"",E191&lt;=TODAY()+3),"DUE SOON",IF(E191="","NO DUE DATE",""))))))</f>
        <v/>
      </c>
      <c r="H191" s="45"/>
      <c r="I191" s="46"/>
      <c r="J191" s="45"/>
      <c r="K191" s="47"/>
      <c r="L191" s="47"/>
      <c r="M191" s="47"/>
      <c r="N191" s="45"/>
    </row>
    <row r="192" customFormat="false" ht="18" hidden="false" customHeight="true" outlineLevel="0" collapsed="false">
      <c r="A192" s="44" t="str">
        <f aca="false">IF(B192="","",ROW()-4)</f>
        <v/>
      </c>
      <c r="B192" s="45"/>
      <c r="C192" s="46"/>
      <c r="D192" s="46"/>
      <c r="E192" s="47"/>
      <c r="F192" s="44" t="str">
        <f aca="true">IF(OR(B192="",E192="",C192="Done",C192="Cancelled"),"",E192-TODAY())</f>
        <v/>
      </c>
      <c r="G192" s="48" t="str">
        <f aca="true">IF(OR(B192="",C192="Done",C192="Cancelled"),"",IF(AND(E192&lt;&gt;"",E192&lt;TODAY()),"OVERDUE",IF(AND(E192&lt;&gt;"",E192=TODAY()),"DUE TODAY",IF(AND(K192&lt;&gt;"",K192&lt;=TODAY()),"FOLLOW UP",IF(AND(E192&lt;&gt;"",E192&lt;=TODAY()+3),"DUE SOON",IF(E192="","NO DUE DATE",""))))))</f>
        <v/>
      </c>
      <c r="H192" s="45"/>
      <c r="I192" s="46"/>
      <c r="J192" s="45"/>
      <c r="K192" s="47"/>
      <c r="L192" s="47"/>
      <c r="M192" s="47"/>
      <c r="N192" s="45"/>
    </row>
    <row r="193" customFormat="false" ht="18" hidden="false" customHeight="true" outlineLevel="0" collapsed="false">
      <c r="A193" s="44" t="str">
        <f aca="false">IF(B193="","",ROW()-4)</f>
        <v/>
      </c>
      <c r="B193" s="45"/>
      <c r="C193" s="46"/>
      <c r="D193" s="46"/>
      <c r="E193" s="47"/>
      <c r="F193" s="44" t="str">
        <f aca="true">IF(OR(B193="",E193="",C193="Done",C193="Cancelled"),"",E193-TODAY())</f>
        <v/>
      </c>
      <c r="G193" s="48" t="str">
        <f aca="true">IF(OR(B193="",C193="Done",C193="Cancelled"),"",IF(AND(E193&lt;&gt;"",E193&lt;TODAY()),"OVERDUE",IF(AND(E193&lt;&gt;"",E193=TODAY()),"DUE TODAY",IF(AND(K193&lt;&gt;"",K193&lt;=TODAY()),"FOLLOW UP",IF(AND(E193&lt;&gt;"",E193&lt;=TODAY()+3),"DUE SOON",IF(E193="","NO DUE DATE",""))))))</f>
        <v/>
      </c>
      <c r="H193" s="45"/>
      <c r="I193" s="46"/>
      <c r="J193" s="45"/>
      <c r="K193" s="47"/>
      <c r="L193" s="47"/>
      <c r="M193" s="47"/>
      <c r="N193" s="45"/>
    </row>
    <row r="194" customFormat="false" ht="18" hidden="false" customHeight="true" outlineLevel="0" collapsed="false">
      <c r="A194" s="44" t="str">
        <f aca="false">IF(B194="","",ROW()-4)</f>
        <v/>
      </c>
      <c r="B194" s="45"/>
      <c r="C194" s="46"/>
      <c r="D194" s="46"/>
      <c r="E194" s="47"/>
      <c r="F194" s="44" t="str">
        <f aca="true">IF(OR(B194="",E194="",C194="Done",C194="Cancelled"),"",E194-TODAY())</f>
        <v/>
      </c>
      <c r="G194" s="48" t="str">
        <f aca="true">IF(OR(B194="",C194="Done",C194="Cancelled"),"",IF(AND(E194&lt;&gt;"",E194&lt;TODAY()),"OVERDUE",IF(AND(E194&lt;&gt;"",E194=TODAY()),"DUE TODAY",IF(AND(K194&lt;&gt;"",K194&lt;=TODAY()),"FOLLOW UP",IF(AND(E194&lt;&gt;"",E194&lt;=TODAY()+3),"DUE SOON",IF(E194="","NO DUE DATE",""))))))</f>
        <v/>
      </c>
      <c r="H194" s="45"/>
      <c r="I194" s="46"/>
      <c r="J194" s="45"/>
      <c r="K194" s="47"/>
      <c r="L194" s="47"/>
      <c r="M194" s="47"/>
      <c r="N194" s="45"/>
    </row>
    <row r="195" customFormat="false" ht="18" hidden="false" customHeight="true" outlineLevel="0" collapsed="false">
      <c r="A195" s="44" t="str">
        <f aca="false">IF(B195="","",ROW()-4)</f>
        <v/>
      </c>
      <c r="B195" s="45"/>
      <c r="C195" s="46"/>
      <c r="D195" s="46"/>
      <c r="E195" s="47"/>
      <c r="F195" s="44" t="str">
        <f aca="true">IF(OR(B195="",E195="",C195="Done",C195="Cancelled"),"",E195-TODAY())</f>
        <v/>
      </c>
      <c r="G195" s="48" t="str">
        <f aca="true">IF(OR(B195="",C195="Done",C195="Cancelled"),"",IF(AND(E195&lt;&gt;"",E195&lt;TODAY()),"OVERDUE",IF(AND(E195&lt;&gt;"",E195=TODAY()),"DUE TODAY",IF(AND(K195&lt;&gt;"",K195&lt;=TODAY()),"FOLLOW UP",IF(AND(E195&lt;&gt;"",E195&lt;=TODAY()+3),"DUE SOON",IF(E195="","NO DUE DATE",""))))))</f>
        <v/>
      </c>
      <c r="H195" s="45"/>
      <c r="I195" s="46"/>
      <c r="J195" s="45"/>
      <c r="K195" s="47"/>
      <c r="L195" s="47"/>
      <c r="M195" s="47"/>
      <c r="N195" s="45"/>
    </row>
    <row r="196" customFormat="false" ht="18" hidden="false" customHeight="true" outlineLevel="0" collapsed="false">
      <c r="A196" s="44" t="str">
        <f aca="false">IF(B196="","",ROW()-4)</f>
        <v/>
      </c>
      <c r="B196" s="45"/>
      <c r="C196" s="46"/>
      <c r="D196" s="46"/>
      <c r="E196" s="47"/>
      <c r="F196" s="44" t="str">
        <f aca="true">IF(OR(B196="",E196="",C196="Done",C196="Cancelled"),"",E196-TODAY())</f>
        <v/>
      </c>
      <c r="G196" s="48" t="str">
        <f aca="true">IF(OR(B196="",C196="Done",C196="Cancelled"),"",IF(AND(E196&lt;&gt;"",E196&lt;TODAY()),"OVERDUE",IF(AND(E196&lt;&gt;"",E196=TODAY()),"DUE TODAY",IF(AND(K196&lt;&gt;"",K196&lt;=TODAY()),"FOLLOW UP",IF(AND(E196&lt;&gt;"",E196&lt;=TODAY()+3),"DUE SOON",IF(E196="","NO DUE DATE",""))))))</f>
        <v/>
      </c>
      <c r="H196" s="45"/>
      <c r="I196" s="46"/>
      <c r="J196" s="45"/>
      <c r="K196" s="47"/>
      <c r="L196" s="47"/>
      <c r="M196" s="47"/>
      <c r="N196" s="45"/>
    </row>
    <row r="197" customFormat="false" ht="18" hidden="false" customHeight="true" outlineLevel="0" collapsed="false">
      <c r="A197" s="44" t="str">
        <f aca="false">IF(B197="","",ROW()-4)</f>
        <v/>
      </c>
      <c r="B197" s="45"/>
      <c r="C197" s="46"/>
      <c r="D197" s="46"/>
      <c r="E197" s="47"/>
      <c r="F197" s="44" t="str">
        <f aca="true">IF(OR(B197="",E197="",C197="Done",C197="Cancelled"),"",E197-TODAY())</f>
        <v/>
      </c>
      <c r="G197" s="48" t="str">
        <f aca="true">IF(OR(B197="",C197="Done",C197="Cancelled"),"",IF(AND(E197&lt;&gt;"",E197&lt;TODAY()),"OVERDUE",IF(AND(E197&lt;&gt;"",E197=TODAY()),"DUE TODAY",IF(AND(K197&lt;&gt;"",K197&lt;=TODAY()),"FOLLOW UP",IF(AND(E197&lt;&gt;"",E197&lt;=TODAY()+3),"DUE SOON",IF(E197="","NO DUE DATE",""))))))</f>
        <v/>
      </c>
      <c r="H197" s="45"/>
      <c r="I197" s="46"/>
      <c r="J197" s="45"/>
      <c r="K197" s="47"/>
      <c r="L197" s="47"/>
      <c r="M197" s="47"/>
      <c r="N197" s="45"/>
    </row>
    <row r="198" customFormat="false" ht="18" hidden="false" customHeight="true" outlineLevel="0" collapsed="false">
      <c r="A198" s="44" t="str">
        <f aca="false">IF(B198="","",ROW()-4)</f>
        <v/>
      </c>
      <c r="B198" s="45"/>
      <c r="C198" s="46"/>
      <c r="D198" s="46"/>
      <c r="E198" s="47"/>
      <c r="F198" s="44" t="str">
        <f aca="true">IF(OR(B198="",E198="",C198="Done",C198="Cancelled"),"",E198-TODAY())</f>
        <v/>
      </c>
      <c r="G198" s="48" t="str">
        <f aca="true">IF(OR(B198="",C198="Done",C198="Cancelled"),"",IF(AND(E198&lt;&gt;"",E198&lt;TODAY()),"OVERDUE",IF(AND(E198&lt;&gt;"",E198=TODAY()),"DUE TODAY",IF(AND(K198&lt;&gt;"",K198&lt;=TODAY()),"FOLLOW UP",IF(AND(E198&lt;&gt;"",E198&lt;=TODAY()+3),"DUE SOON",IF(E198="","NO DUE DATE",""))))))</f>
        <v/>
      </c>
      <c r="H198" s="45"/>
      <c r="I198" s="46"/>
      <c r="J198" s="45"/>
      <c r="K198" s="47"/>
      <c r="L198" s="47"/>
      <c r="M198" s="47"/>
      <c r="N198" s="45"/>
    </row>
    <row r="199" customFormat="false" ht="18" hidden="false" customHeight="true" outlineLevel="0" collapsed="false">
      <c r="A199" s="44" t="str">
        <f aca="false">IF(B199="","",ROW()-4)</f>
        <v/>
      </c>
      <c r="B199" s="45"/>
      <c r="C199" s="46"/>
      <c r="D199" s="46"/>
      <c r="E199" s="47"/>
      <c r="F199" s="44" t="str">
        <f aca="true">IF(OR(B199="",E199="",C199="Done",C199="Cancelled"),"",E199-TODAY())</f>
        <v/>
      </c>
      <c r="G199" s="48" t="str">
        <f aca="true">IF(OR(B199="",C199="Done",C199="Cancelled"),"",IF(AND(E199&lt;&gt;"",E199&lt;TODAY()),"OVERDUE",IF(AND(E199&lt;&gt;"",E199=TODAY()),"DUE TODAY",IF(AND(K199&lt;&gt;"",K199&lt;=TODAY()),"FOLLOW UP",IF(AND(E199&lt;&gt;"",E199&lt;=TODAY()+3),"DUE SOON",IF(E199="","NO DUE DATE",""))))))</f>
        <v/>
      </c>
      <c r="H199" s="45"/>
      <c r="I199" s="46"/>
      <c r="J199" s="45"/>
      <c r="K199" s="47"/>
      <c r="L199" s="47"/>
      <c r="M199" s="47"/>
      <c r="N199" s="45"/>
    </row>
    <row r="200" customFormat="false" ht="18" hidden="false" customHeight="true" outlineLevel="0" collapsed="false">
      <c r="A200" s="44" t="str">
        <f aca="false">IF(B200="","",ROW()-4)</f>
        <v/>
      </c>
      <c r="B200" s="45"/>
      <c r="C200" s="46"/>
      <c r="D200" s="46"/>
      <c r="E200" s="47"/>
      <c r="F200" s="44" t="str">
        <f aca="true">IF(OR(B200="",E200="",C200="Done",C200="Cancelled"),"",E200-TODAY())</f>
        <v/>
      </c>
      <c r="G200" s="48" t="str">
        <f aca="true">IF(OR(B200="",C200="Done",C200="Cancelled"),"",IF(AND(E200&lt;&gt;"",E200&lt;TODAY()),"OVERDUE",IF(AND(E200&lt;&gt;"",E200=TODAY()),"DUE TODAY",IF(AND(K200&lt;&gt;"",K200&lt;=TODAY()),"FOLLOW UP",IF(AND(E200&lt;&gt;"",E200&lt;=TODAY()+3),"DUE SOON",IF(E200="","NO DUE DATE",""))))))</f>
        <v/>
      </c>
      <c r="H200" s="45"/>
      <c r="I200" s="46"/>
      <c r="J200" s="45"/>
      <c r="K200" s="47"/>
      <c r="L200" s="47"/>
      <c r="M200" s="47"/>
      <c r="N200" s="45"/>
    </row>
    <row r="201" customFormat="false" ht="18" hidden="false" customHeight="true" outlineLevel="0" collapsed="false">
      <c r="A201" s="44" t="str">
        <f aca="false">IF(B201="","",ROW()-4)</f>
        <v/>
      </c>
      <c r="B201" s="45"/>
      <c r="C201" s="46"/>
      <c r="D201" s="46"/>
      <c r="E201" s="47"/>
      <c r="F201" s="44" t="str">
        <f aca="true">IF(OR(B201="",E201="",C201="Done",C201="Cancelled"),"",E201-TODAY())</f>
        <v/>
      </c>
      <c r="G201" s="48" t="str">
        <f aca="true">IF(OR(B201="",C201="Done",C201="Cancelled"),"",IF(AND(E201&lt;&gt;"",E201&lt;TODAY()),"OVERDUE",IF(AND(E201&lt;&gt;"",E201=TODAY()),"DUE TODAY",IF(AND(K201&lt;&gt;"",K201&lt;=TODAY()),"FOLLOW UP",IF(AND(E201&lt;&gt;"",E201&lt;=TODAY()+3),"DUE SOON",IF(E201="","NO DUE DATE",""))))))</f>
        <v/>
      </c>
      <c r="H201" s="45"/>
      <c r="I201" s="46"/>
      <c r="J201" s="45"/>
      <c r="K201" s="47"/>
      <c r="L201" s="47"/>
      <c r="M201" s="47"/>
      <c r="N201" s="45"/>
    </row>
    <row r="202" customFormat="false" ht="18" hidden="false" customHeight="true" outlineLevel="0" collapsed="false">
      <c r="A202" s="44" t="str">
        <f aca="false">IF(B202="","",ROW()-4)</f>
        <v/>
      </c>
      <c r="B202" s="45"/>
      <c r="C202" s="46"/>
      <c r="D202" s="46"/>
      <c r="E202" s="47"/>
      <c r="F202" s="44" t="str">
        <f aca="true">IF(OR(B202="",E202="",C202="Done",C202="Cancelled"),"",E202-TODAY())</f>
        <v/>
      </c>
      <c r="G202" s="48" t="str">
        <f aca="true">IF(OR(B202="",C202="Done",C202="Cancelled"),"",IF(AND(E202&lt;&gt;"",E202&lt;TODAY()),"OVERDUE",IF(AND(E202&lt;&gt;"",E202=TODAY()),"DUE TODAY",IF(AND(K202&lt;&gt;"",K202&lt;=TODAY()),"FOLLOW UP",IF(AND(E202&lt;&gt;"",E202&lt;=TODAY()+3),"DUE SOON",IF(E202="","NO DUE DATE",""))))))</f>
        <v/>
      </c>
      <c r="H202" s="45"/>
      <c r="I202" s="46"/>
      <c r="J202" s="45"/>
      <c r="K202" s="47"/>
      <c r="L202" s="47"/>
      <c r="M202" s="47"/>
      <c r="N202" s="45"/>
    </row>
    <row r="203" customFormat="false" ht="18" hidden="false" customHeight="true" outlineLevel="0" collapsed="false">
      <c r="A203" s="44" t="str">
        <f aca="false">IF(B203="","",ROW()-4)</f>
        <v/>
      </c>
      <c r="B203" s="45"/>
      <c r="C203" s="46"/>
      <c r="D203" s="46"/>
      <c r="E203" s="47"/>
      <c r="F203" s="44" t="str">
        <f aca="true">IF(OR(B203="",E203="",C203="Done",C203="Cancelled"),"",E203-TODAY())</f>
        <v/>
      </c>
      <c r="G203" s="48" t="str">
        <f aca="true">IF(OR(B203="",C203="Done",C203="Cancelled"),"",IF(AND(E203&lt;&gt;"",E203&lt;TODAY()),"OVERDUE",IF(AND(E203&lt;&gt;"",E203=TODAY()),"DUE TODAY",IF(AND(K203&lt;&gt;"",K203&lt;=TODAY()),"FOLLOW UP",IF(AND(E203&lt;&gt;"",E203&lt;=TODAY()+3),"DUE SOON",IF(E203="","NO DUE DATE",""))))))</f>
        <v/>
      </c>
      <c r="H203" s="45"/>
      <c r="I203" s="46"/>
      <c r="J203" s="45"/>
      <c r="K203" s="47"/>
      <c r="L203" s="47"/>
      <c r="M203" s="47"/>
      <c r="N203" s="45"/>
    </row>
    <row r="204" customFormat="false" ht="18" hidden="false" customHeight="true" outlineLevel="0" collapsed="false">
      <c r="A204" s="44" t="str">
        <f aca="false">IF(B204="","",ROW()-4)</f>
        <v/>
      </c>
      <c r="B204" s="45"/>
      <c r="C204" s="46"/>
      <c r="D204" s="46"/>
      <c r="E204" s="47"/>
      <c r="F204" s="44" t="str">
        <f aca="true">IF(OR(B204="",E204="",C204="Done",C204="Cancelled"),"",E204-TODAY())</f>
        <v/>
      </c>
      <c r="G204" s="48" t="str">
        <f aca="true">IF(OR(B204="",C204="Done",C204="Cancelled"),"",IF(AND(E204&lt;&gt;"",E204&lt;TODAY()),"OVERDUE",IF(AND(E204&lt;&gt;"",E204=TODAY()),"DUE TODAY",IF(AND(K204&lt;&gt;"",K204&lt;=TODAY()),"FOLLOW UP",IF(AND(E204&lt;&gt;"",E204&lt;=TODAY()+3),"DUE SOON",IF(E204="","NO DUE DATE",""))))))</f>
        <v/>
      </c>
      <c r="H204" s="45"/>
      <c r="I204" s="46"/>
      <c r="J204" s="45"/>
      <c r="K204" s="47"/>
      <c r="L204" s="47"/>
      <c r="M204" s="47"/>
      <c r="N204" s="45"/>
    </row>
    <row r="205" customFormat="false" ht="18" hidden="false" customHeight="true" outlineLevel="0" collapsed="false">
      <c r="A205" s="44" t="str">
        <f aca="false">IF(B205="","",ROW()-4)</f>
        <v/>
      </c>
      <c r="B205" s="45"/>
      <c r="C205" s="46"/>
      <c r="D205" s="46"/>
      <c r="E205" s="47"/>
      <c r="F205" s="44" t="str">
        <f aca="true">IF(OR(B205="",E205="",C205="Done",C205="Cancelled"),"",E205-TODAY())</f>
        <v/>
      </c>
      <c r="G205" s="48" t="str">
        <f aca="true">IF(OR(B205="",C205="Done",C205="Cancelled"),"",IF(AND(E205&lt;&gt;"",E205&lt;TODAY()),"OVERDUE",IF(AND(E205&lt;&gt;"",E205=TODAY()),"DUE TODAY",IF(AND(K205&lt;&gt;"",K205&lt;=TODAY()),"FOLLOW UP",IF(AND(E205&lt;&gt;"",E205&lt;=TODAY()+3),"DUE SOON",IF(E205="","NO DUE DATE",""))))))</f>
        <v/>
      </c>
      <c r="H205" s="45"/>
      <c r="I205" s="46"/>
      <c r="J205" s="45"/>
      <c r="K205" s="47"/>
      <c r="L205" s="47"/>
      <c r="M205" s="47"/>
      <c r="N205" s="45"/>
    </row>
    <row r="206" customFormat="false" ht="18" hidden="false" customHeight="true" outlineLevel="0" collapsed="false">
      <c r="A206" s="44" t="str">
        <f aca="false">IF(B206="","",ROW()-4)</f>
        <v/>
      </c>
      <c r="B206" s="45"/>
      <c r="C206" s="46"/>
      <c r="D206" s="46"/>
      <c r="E206" s="47"/>
      <c r="F206" s="44" t="str">
        <f aca="true">IF(OR(B206="",E206="",C206="Done",C206="Cancelled"),"",E206-TODAY())</f>
        <v/>
      </c>
      <c r="G206" s="48" t="str">
        <f aca="true">IF(OR(B206="",C206="Done",C206="Cancelled"),"",IF(AND(E206&lt;&gt;"",E206&lt;TODAY()),"OVERDUE",IF(AND(E206&lt;&gt;"",E206=TODAY()),"DUE TODAY",IF(AND(K206&lt;&gt;"",K206&lt;=TODAY()),"FOLLOW UP",IF(AND(E206&lt;&gt;"",E206&lt;=TODAY()+3),"DUE SOON",IF(E206="","NO DUE DATE",""))))))</f>
        <v/>
      </c>
      <c r="H206" s="45"/>
      <c r="I206" s="46"/>
      <c r="J206" s="45"/>
      <c r="K206" s="47"/>
      <c r="L206" s="47"/>
      <c r="M206" s="47"/>
      <c r="N206" s="45"/>
    </row>
    <row r="207" customFormat="false" ht="18" hidden="false" customHeight="true" outlineLevel="0" collapsed="false">
      <c r="A207" s="44" t="str">
        <f aca="false">IF(B207="","",ROW()-4)</f>
        <v/>
      </c>
      <c r="B207" s="45"/>
      <c r="C207" s="46"/>
      <c r="D207" s="46"/>
      <c r="E207" s="47"/>
      <c r="F207" s="44" t="str">
        <f aca="true">IF(OR(B207="",E207="",C207="Done",C207="Cancelled"),"",E207-TODAY())</f>
        <v/>
      </c>
      <c r="G207" s="48" t="str">
        <f aca="true">IF(OR(B207="",C207="Done",C207="Cancelled"),"",IF(AND(E207&lt;&gt;"",E207&lt;TODAY()),"OVERDUE",IF(AND(E207&lt;&gt;"",E207=TODAY()),"DUE TODAY",IF(AND(K207&lt;&gt;"",K207&lt;=TODAY()),"FOLLOW UP",IF(AND(E207&lt;&gt;"",E207&lt;=TODAY()+3),"DUE SOON",IF(E207="","NO DUE DATE",""))))))</f>
        <v/>
      </c>
      <c r="H207" s="45"/>
      <c r="I207" s="46"/>
      <c r="J207" s="45"/>
      <c r="K207" s="47"/>
      <c r="L207" s="47"/>
      <c r="M207" s="47"/>
      <c r="N207" s="45"/>
    </row>
    <row r="208" customFormat="false" ht="18" hidden="false" customHeight="true" outlineLevel="0" collapsed="false">
      <c r="A208" s="44" t="str">
        <f aca="false">IF(B208="","",ROW()-4)</f>
        <v/>
      </c>
      <c r="B208" s="45"/>
      <c r="C208" s="46"/>
      <c r="D208" s="46"/>
      <c r="E208" s="47"/>
      <c r="F208" s="44" t="str">
        <f aca="true">IF(OR(B208="",E208="",C208="Done",C208="Cancelled"),"",E208-TODAY())</f>
        <v/>
      </c>
      <c r="G208" s="48" t="str">
        <f aca="true">IF(OR(B208="",C208="Done",C208="Cancelled"),"",IF(AND(E208&lt;&gt;"",E208&lt;TODAY()),"OVERDUE",IF(AND(E208&lt;&gt;"",E208=TODAY()),"DUE TODAY",IF(AND(K208&lt;&gt;"",K208&lt;=TODAY()),"FOLLOW UP",IF(AND(E208&lt;&gt;"",E208&lt;=TODAY()+3),"DUE SOON",IF(E208="","NO DUE DATE",""))))))</f>
        <v/>
      </c>
      <c r="H208" s="45"/>
      <c r="I208" s="46"/>
      <c r="J208" s="45"/>
      <c r="K208" s="47"/>
      <c r="L208" s="47"/>
      <c r="M208" s="47"/>
      <c r="N208" s="45"/>
    </row>
    <row r="209" customFormat="false" ht="18" hidden="false" customHeight="true" outlineLevel="0" collapsed="false">
      <c r="A209" s="44" t="str">
        <f aca="false">IF(B209="","",ROW()-4)</f>
        <v/>
      </c>
      <c r="B209" s="45"/>
      <c r="C209" s="46"/>
      <c r="D209" s="46"/>
      <c r="E209" s="47"/>
      <c r="F209" s="44" t="str">
        <f aca="true">IF(OR(B209="",E209="",C209="Done",C209="Cancelled"),"",E209-TODAY())</f>
        <v/>
      </c>
      <c r="G209" s="48" t="str">
        <f aca="true">IF(OR(B209="",C209="Done",C209="Cancelled"),"",IF(AND(E209&lt;&gt;"",E209&lt;TODAY()),"OVERDUE",IF(AND(E209&lt;&gt;"",E209=TODAY()),"DUE TODAY",IF(AND(K209&lt;&gt;"",K209&lt;=TODAY()),"FOLLOW UP",IF(AND(E209&lt;&gt;"",E209&lt;=TODAY()+3),"DUE SOON",IF(E209="","NO DUE DATE",""))))))</f>
        <v/>
      </c>
      <c r="H209" s="45"/>
      <c r="I209" s="46"/>
      <c r="J209" s="45"/>
      <c r="K209" s="47"/>
      <c r="L209" s="47"/>
      <c r="M209" s="47"/>
      <c r="N209" s="45"/>
    </row>
    <row r="210" customFormat="false" ht="18" hidden="false" customHeight="true" outlineLevel="0" collapsed="false">
      <c r="A210" s="44" t="str">
        <f aca="false">IF(B210="","",ROW()-4)</f>
        <v/>
      </c>
      <c r="B210" s="45"/>
      <c r="C210" s="46"/>
      <c r="D210" s="46"/>
      <c r="E210" s="47"/>
      <c r="F210" s="44" t="str">
        <f aca="true">IF(OR(B210="",E210="",C210="Done",C210="Cancelled"),"",E210-TODAY())</f>
        <v/>
      </c>
      <c r="G210" s="48" t="str">
        <f aca="true">IF(OR(B210="",C210="Done",C210="Cancelled"),"",IF(AND(E210&lt;&gt;"",E210&lt;TODAY()),"OVERDUE",IF(AND(E210&lt;&gt;"",E210=TODAY()),"DUE TODAY",IF(AND(K210&lt;&gt;"",K210&lt;=TODAY()),"FOLLOW UP",IF(AND(E210&lt;&gt;"",E210&lt;=TODAY()+3),"DUE SOON",IF(E210="","NO DUE DATE",""))))))</f>
        <v/>
      </c>
      <c r="H210" s="45"/>
      <c r="I210" s="46"/>
      <c r="J210" s="45"/>
      <c r="K210" s="47"/>
      <c r="L210" s="47"/>
      <c r="M210" s="47"/>
      <c r="N210" s="45"/>
    </row>
    <row r="211" customFormat="false" ht="18" hidden="false" customHeight="true" outlineLevel="0" collapsed="false">
      <c r="A211" s="44" t="str">
        <f aca="false">IF(B211="","",ROW()-4)</f>
        <v/>
      </c>
      <c r="B211" s="45"/>
      <c r="C211" s="46"/>
      <c r="D211" s="46"/>
      <c r="E211" s="47"/>
      <c r="F211" s="44" t="str">
        <f aca="true">IF(OR(B211="",E211="",C211="Done",C211="Cancelled"),"",E211-TODAY())</f>
        <v/>
      </c>
      <c r="G211" s="48" t="str">
        <f aca="true">IF(OR(B211="",C211="Done",C211="Cancelled"),"",IF(AND(E211&lt;&gt;"",E211&lt;TODAY()),"OVERDUE",IF(AND(E211&lt;&gt;"",E211=TODAY()),"DUE TODAY",IF(AND(K211&lt;&gt;"",K211&lt;=TODAY()),"FOLLOW UP",IF(AND(E211&lt;&gt;"",E211&lt;=TODAY()+3),"DUE SOON",IF(E211="","NO DUE DATE",""))))))</f>
        <v/>
      </c>
      <c r="H211" s="45"/>
      <c r="I211" s="46"/>
      <c r="J211" s="45"/>
      <c r="K211" s="47"/>
      <c r="L211" s="47"/>
      <c r="M211" s="47"/>
      <c r="N211" s="45"/>
    </row>
    <row r="212" customFormat="false" ht="18" hidden="false" customHeight="true" outlineLevel="0" collapsed="false">
      <c r="A212" s="44" t="str">
        <f aca="false">IF(B212="","",ROW()-4)</f>
        <v/>
      </c>
      <c r="B212" s="45"/>
      <c r="C212" s="46"/>
      <c r="D212" s="46"/>
      <c r="E212" s="47"/>
      <c r="F212" s="44" t="str">
        <f aca="true">IF(OR(B212="",E212="",C212="Done",C212="Cancelled"),"",E212-TODAY())</f>
        <v/>
      </c>
      <c r="G212" s="48" t="str">
        <f aca="true">IF(OR(B212="",C212="Done",C212="Cancelled"),"",IF(AND(E212&lt;&gt;"",E212&lt;TODAY()),"OVERDUE",IF(AND(E212&lt;&gt;"",E212=TODAY()),"DUE TODAY",IF(AND(K212&lt;&gt;"",K212&lt;=TODAY()),"FOLLOW UP",IF(AND(E212&lt;&gt;"",E212&lt;=TODAY()+3),"DUE SOON",IF(E212="","NO DUE DATE",""))))))</f>
        <v/>
      </c>
      <c r="H212" s="45"/>
      <c r="I212" s="46"/>
      <c r="J212" s="45"/>
      <c r="K212" s="47"/>
      <c r="L212" s="47"/>
      <c r="M212" s="47"/>
      <c r="N212" s="45"/>
    </row>
    <row r="213" customFormat="false" ht="18" hidden="false" customHeight="true" outlineLevel="0" collapsed="false">
      <c r="A213" s="44" t="str">
        <f aca="false">IF(B213="","",ROW()-4)</f>
        <v/>
      </c>
      <c r="B213" s="45"/>
      <c r="C213" s="46"/>
      <c r="D213" s="46"/>
      <c r="E213" s="47"/>
      <c r="F213" s="44" t="str">
        <f aca="true">IF(OR(B213="",E213="",C213="Done",C213="Cancelled"),"",E213-TODAY())</f>
        <v/>
      </c>
      <c r="G213" s="48" t="str">
        <f aca="true">IF(OR(B213="",C213="Done",C213="Cancelled"),"",IF(AND(E213&lt;&gt;"",E213&lt;TODAY()),"OVERDUE",IF(AND(E213&lt;&gt;"",E213=TODAY()),"DUE TODAY",IF(AND(K213&lt;&gt;"",K213&lt;=TODAY()),"FOLLOW UP",IF(AND(E213&lt;&gt;"",E213&lt;=TODAY()+3),"DUE SOON",IF(E213="","NO DUE DATE",""))))))</f>
        <v/>
      </c>
      <c r="H213" s="45"/>
      <c r="I213" s="46"/>
      <c r="J213" s="45"/>
      <c r="K213" s="47"/>
      <c r="L213" s="47"/>
      <c r="M213" s="47"/>
      <c r="N213" s="45"/>
    </row>
    <row r="214" customFormat="false" ht="18" hidden="false" customHeight="true" outlineLevel="0" collapsed="false">
      <c r="A214" s="44" t="str">
        <f aca="false">IF(B214="","",ROW()-4)</f>
        <v/>
      </c>
      <c r="B214" s="45"/>
      <c r="C214" s="46"/>
      <c r="D214" s="46"/>
      <c r="E214" s="47"/>
      <c r="F214" s="44" t="str">
        <f aca="true">IF(OR(B214="",E214="",C214="Done",C214="Cancelled"),"",E214-TODAY())</f>
        <v/>
      </c>
      <c r="G214" s="48" t="str">
        <f aca="true">IF(OR(B214="",C214="Done",C214="Cancelled"),"",IF(AND(E214&lt;&gt;"",E214&lt;TODAY()),"OVERDUE",IF(AND(E214&lt;&gt;"",E214=TODAY()),"DUE TODAY",IF(AND(K214&lt;&gt;"",K214&lt;=TODAY()),"FOLLOW UP",IF(AND(E214&lt;&gt;"",E214&lt;=TODAY()+3),"DUE SOON",IF(E214="","NO DUE DATE",""))))))</f>
        <v/>
      </c>
      <c r="H214" s="45"/>
      <c r="I214" s="46"/>
      <c r="J214" s="45"/>
      <c r="K214" s="47"/>
      <c r="L214" s="47"/>
      <c r="M214" s="47"/>
      <c r="N214" s="45"/>
    </row>
    <row r="215" customFormat="false" ht="18" hidden="false" customHeight="true" outlineLevel="0" collapsed="false">
      <c r="A215" s="44" t="str">
        <f aca="false">IF(B215="","",ROW()-4)</f>
        <v/>
      </c>
      <c r="B215" s="45"/>
      <c r="C215" s="46"/>
      <c r="D215" s="46"/>
      <c r="E215" s="47"/>
      <c r="F215" s="44" t="str">
        <f aca="true">IF(OR(B215="",E215="",C215="Done",C215="Cancelled"),"",E215-TODAY())</f>
        <v/>
      </c>
      <c r="G215" s="48" t="str">
        <f aca="true">IF(OR(B215="",C215="Done",C215="Cancelled"),"",IF(AND(E215&lt;&gt;"",E215&lt;TODAY()),"OVERDUE",IF(AND(E215&lt;&gt;"",E215=TODAY()),"DUE TODAY",IF(AND(K215&lt;&gt;"",K215&lt;=TODAY()),"FOLLOW UP",IF(AND(E215&lt;&gt;"",E215&lt;=TODAY()+3),"DUE SOON",IF(E215="","NO DUE DATE",""))))))</f>
        <v/>
      </c>
      <c r="H215" s="45"/>
      <c r="I215" s="46"/>
      <c r="J215" s="45"/>
      <c r="K215" s="47"/>
      <c r="L215" s="47"/>
      <c r="M215" s="47"/>
      <c r="N215" s="45"/>
    </row>
    <row r="216" customFormat="false" ht="18" hidden="false" customHeight="true" outlineLevel="0" collapsed="false">
      <c r="A216" s="44" t="str">
        <f aca="false">IF(B216="","",ROW()-4)</f>
        <v/>
      </c>
      <c r="B216" s="45"/>
      <c r="C216" s="46"/>
      <c r="D216" s="46"/>
      <c r="E216" s="47"/>
      <c r="F216" s="44" t="str">
        <f aca="true">IF(OR(B216="",E216="",C216="Done",C216="Cancelled"),"",E216-TODAY())</f>
        <v/>
      </c>
      <c r="G216" s="48" t="str">
        <f aca="true">IF(OR(B216="",C216="Done",C216="Cancelled"),"",IF(AND(E216&lt;&gt;"",E216&lt;TODAY()),"OVERDUE",IF(AND(E216&lt;&gt;"",E216=TODAY()),"DUE TODAY",IF(AND(K216&lt;&gt;"",K216&lt;=TODAY()),"FOLLOW UP",IF(AND(E216&lt;&gt;"",E216&lt;=TODAY()+3),"DUE SOON",IF(E216="","NO DUE DATE",""))))))</f>
        <v/>
      </c>
      <c r="H216" s="45"/>
      <c r="I216" s="46"/>
      <c r="J216" s="45"/>
      <c r="K216" s="47"/>
      <c r="L216" s="47"/>
      <c r="M216" s="47"/>
      <c r="N216" s="45"/>
    </row>
    <row r="217" customFormat="false" ht="18" hidden="false" customHeight="true" outlineLevel="0" collapsed="false">
      <c r="A217" s="44" t="str">
        <f aca="false">IF(B217="","",ROW()-4)</f>
        <v/>
      </c>
      <c r="B217" s="45"/>
      <c r="C217" s="46"/>
      <c r="D217" s="46"/>
      <c r="E217" s="47"/>
      <c r="F217" s="44" t="str">
        <f aca="true">IF(OR(B217="",E217="",C217="Done",C217="Cancelled"),"",E217-TODAY())</f>
        <v/>
      </c>
      <c r="G217" s="48" t="str">
        <f aca="true">IF(OR(B217="",C217="Done",C217="Cancelled"),"",IF(AND(E217&lt;&gt;"",E217&lt;TODAY()),"OVERDUE",IF(AND(E217&lt;&gt;"",E217=TODAY()),"DUE TODAY",IF(AND(K217&lt;&gt;"",K217&lt;=TODAY()),"FOLLOW UP",IF(AND(E217&lt;&gt;"",E217&lt;=TODAY()+3),"DUE SOON",IF(E217="","NO DUE DATE",""))))))</f>
        <v/>
      </c>
      <c r="H217" s="45"/>
      <c r="I217" s="46"/>
      <c r="J217" s="45"/>
      <c r="K217" s="47"/>
      <c r="L217" s="47"/>
      <c r="M217" s="47"/>
      <c r="N217" s="45"/>
    </row>
    <row r="218" customFormat="false" ht="18" hidden="false" customHeight="true" outlineLevel="0" collapsed="false">
      <c r="A218" s="44" t="str">
        <f aca="false">IF(B218="","",ROW()-4)</f>
        <v/>
      </c>
      <c r="B218" s="45"/>
      <c r="C218" s="46"/>
      <c r="D218" s="46"/>
      <c r="E218" s="47"/>
      <c r="F218" s="44" t="str">
        <f aca="true">IF(OR(B218="",E218="",C218="Done",C218="Cancelled"),"",E218-TODAY())</f>
        <v/>
      </c>
      <c r="G218" s="48" t="str">
        <f aca="true">IF(OR(B218="",C218="Done",C218="Cancelled"),"",IF(AND(E218&lt;&gt;"",E218&lt;TODAY()),"OVERDUE",IF(AND(E218&lt;&gt;"",E218=TODAY()),"DUE TODAY",IF(AND(K218&lt;&gt;"",K218&lt;=TODAY()),"FOLLOW UP",IF(AND(E218&lt;&gt;"",E218&lt;=TODAY()+3),"DUE SOON",IF(E218="","NO DUE DATE",""))))))</f>
        <v/>
      </c>
      <c r="H218" s="45"/>
      <c r="I218" s="46"/>
      <c r="J218" s="45"/>
      <c r="K218" s="47"/>
      <c r="L218" s="47"/>
      <c r="M218" s="47"/>
      <c r="N218" s="45"/>
    </row>
    <row r="219" customFormat="false" ht="18" hidden="false" customHeight="true" outlineLevel="0" collapsed="false">
      <c r="A219" s="44" t="str">
        <f aca="false">IF(B219="","",ROW()-4)</f>
        <v/>
      </c>
      <c r="B219" s="45"/>
      <c r="C219" s="46"/>
      <c r="D219" s="46"/>
      <c r="E219" s="47"/>
      <c r="F219" s="44" t="str">
        <f aca="true">IF(OR(B219="",E219="",C219="Done",C219="Cancelled"),"",E219-TODAY())</f>
        <v/>
      </c>
      <c r="G219" s="48" t="str">
        <f aca="true">IF(OR(B219="",C219="Done",C219="Cancelled"),"",IF(AND(E219&lt;&gt;"",E219&lt;TODAY()),"OVERDUE",IF(AND(E219&lt;&gt;"",E219=TODAY()),"DUE TODAY",IF(AND(K219&lt;&gt;"",K219&lt;=TODAY()),"FOLLOW UP",IF(AND(E219&lt;&gt;"",E219&lt;=TODAY()+3),"DUE SOON",IF(E219="","NO DUE DATE",""))))))</f>
        <v/>
      </c>
      <c r="H219" s="45"/>
      <c r="I219" s="46"/>
      <c r="J219" s="45"/>
      <c r="K219" s="47"/>
      <c r="L219" s="47"/>
      <c r="M219" s="47"/>
      <c r="N219" s="45"/>
    </row>
    <row r="220" customFormat="false" ht="18" hidden="false" customHeight="true" outlineLevel="0" collapsed="false">
      <c r="A220" s="44" t="str">
        <f aca="false">IF(B220="","",ROW()-4)</f>
        <v/>
      </c>
      <c r="B220" s="45"/>
      <c r="C220" s="46"/>
      <c r="D220" s="46"/>
      <c r="E220" s="47"/>
      <c r="F220" s="44" t="str">
        <f aca="true">IF(OR(B220="",E220="",C220="Done",C220="Cancelled"),"",E220-TODAY())</f>
        <v/>
      </c>
      <c r="G220" s="48" t="str">
        <f aca="true">IF(OR(B220="",C220="Done",C220="Cancelled"),"",IF(AND(E220&lt;&gt;"",E220&lt;TODAY()),"OVERDUE",IF(AND(E220&lt;&gt;"",E220=TODAY()),"DUE TODAY",IF(AND(K220&lt;&gt;"",K220&lt;=TODAY()),"FOLLOW UP",IF(AND(E220&lt;&gt;"",E220&lt;=TODAY()+3),"DUE SOON",IF(E220="","NO DUE DATE",""))))))</f>
        <v/>
      </c>
      <c r="H220" s="45"/>
      <c r="I220" s="46"/>
      <c r="J220" s="45"/>
      <c r="K220" s="47"/>
      <c r="L220" s="47"/>
      <c r="M220" s="47"/>
      <c r="N220" s="45"/>
    </row>
    <row r="221" customFormat="false" ht="18" hidden="false" customHeight="true" outlineLevel="0" collapsed="false">
      <c r="A221" s="44" t="str">
        <f aca="false">IF(B221="","",ROW()-4)</f>
        <v/>
      </c>
      <c r="B221" s="45"/>
      <c r="C221" s="46"/>
      <c r="D221" s="46"/>
      <c r="E221" s="47"/>
      <c r="F221" s="44" t="str">
        <f aca="true">IF(OR(B221="",E221="",C221="Done",C221="Cancelled"),"",E221-TODAY())</f>
        <v/>
      </c>
      <c r="G221" s="48" t="str">
        <f aca="true">IF(OR(B221="",C221="Done",C221="Cancelled"),"",IF(AND(E221&lt;&gt;"",E221&lt;TODAY()),"OVERDUE",IF(AND(E221&lt;&gt;"",E221=TODAY()),"DUE TODAY",IF(AND(K221&lt;&gt;"",K221&lt;=TODAY()),"FOLLOW UP",IF(AND(E221&lt;&gt;"",E221&lt;=TODAY()+3),"DUE SOON",IF(E221="","NO DUE DATE",""))))))</f>
        <v/>
      </c>
      <c r="H221" s="45"/>
      <c r="I221" s="46"/>
      <c r="J221" s="45"/>
      <c r="K221" s="47"/>
      <c r="L221" s="47"/>
      <c r="M221" s="47"/>
      <c r="N221" s="45"/>
    </row>
    <row r="222" customFormat="false" ht="18" hidden="false" customHeight="true" outlineLevel="0" collapsed="false">
      <c r="A222" s="44" t="str">
        <f aca="false">IF(B222="","",ROW()-4)</f>
        <v/>
      </c>
      <c r="B222" s="45"/>
      <c r="C222" s="46"/>
      <c r="D222" s="46"/>
      <c r="E222" s="47"/>
      <c r="F222" s="44" t="str">
        <f aca="true">IF(OR(B222="",E222="",C222="Done",C222="Cancelled"),"",E222-TODAY())</f>
        <v/>
      </c>
      <c r="G222" s="48" t="str">
        <f aca="true">IF(OR(B222="",C222="Done",C222="Cancelled"),"",IF(AND(E222&lt;&gt;"",E222&lt;TODAY()),"OVERDUE",IF(AND(E222&lt;&gt;"",E222=TODAY()),"DUE TODAY",IF(AND(K222&lt;&gt;"",K222&lt;=TODAY()),"FOLLOW UP",IF(AND(E222&lt;&gt;"",E222&lt;=TODAY()+3),"DUE SOON",IF(E222="","NO DUE DATE",""))))))</f>
        <v/>
      </c>
      <c r="H222" s="45"/>
      <c r="I222" s="46"/>
      <c r="J222" s="45"/>
      <c r="K222" s="47"/>
      <c r="L222" s="47"/>
      <c r="M222" s="47"/>
      <c r="N222" s="45"/>
    </row>
    <row r="223" customFormat="false" ht="18" hidden="false" customHeight="true" outlineLevel="0" collapsed="false">
      <c r="A223" s="44" t="str">
        <f aca="false">IF(B223="","",ROW()-4)</f>
        <v/>
      </c>
      <c r="B223" s="45"/>
      <c r="C223" s="46"/>
      <c r="D223" s="46"/>
      <c r="E223" s="47"/>
      <c r="F223" s="44" t="str">
        <f aca="true">IF(OR(B223="",E223="",C223="Done",C223="Cancelled"),"",E223-TODAY())</f>
        <v/>
      </c>
      <c r="G223" s="48" t="str">
        <f aca="true">IF(OR(B223="",C223="Done",C223="Cancelled"),"",IF(AND(E223&lt;&gt;"",E223&lt;TODAY()),"OVERDUE",IF(AND(E223&lt;&gt;"",E223=TODAY()),"DUE TODAY",IF(AND(K223&lt;&gt;"",K223&lt;=TODAY()),"FOLLOW UP",IF(AND(E223&lt;&gt;"",E223&lt;=TODAY()+3),"DUE SOON",IF(E223="","NO DUE DATE",""))))))</f>
        <v/>
      </c>
      <c r="H223" s="45"/>
      <c r="I223" s="46"/>
      <c r="J223" s="45"/>
      <c r="K223" s="47"/>
      <c r="L223" s="47"/>
      <c r="M223" s="47"/>
      <c r="N223" s="45"/>
    </row>
    <row r="224" customFormat="false" ht="18" hidden="false" customHeight="true" outlineLevel="0" collapsed="false">
      <c r="A224" s="44" t="str">
        <f aca="false">IF(B224="","",ROW()-4)</f>
        <v/>
      </c>
      <c r="B224" s="45"/>
      <c r="C224" s="46"/>
      <c r="D224" s="46"/>
      <c r="E224" s="47"/>
      <c r="F224" s="44" t="str">
        <f aca="true">IF(OR(B224="",E224="",C224="Done",C224="Cancelled"),"",E224-TODAY())</f>
        <v/>
      </c>
      <c r="G224" s="48" t="str">
        <f aca="true">IF(OR(B224="",C224="Done",C224="Cancelled"),"",IF(AND(E224&lt;&gt;"",E224&lt;TODAY()),"OVERDUE",IF(AND(E224&lt;&gt;"",E224=TODAY()),"DUE TODAY",IF(AND(K224&lt;&gt;"",K224&lt;=TODAY()),"FOLLOW UP",IF(AND(E224&lt;&gt;"",E224&lt;=TODAY()+3),"DUE SOON",IF(E224="","NO DUE DATE",""))))))</f>
        <v/>
      </c>
      <c r="H224" s="45"/>
      <c r="I224" s="46"/>
      <c r="J224" s="45"/>
      <c r="K224" s="47"/>
      <c r="L224" s="47"/>
      <c r="M224" s="47"/>
      <c r="N224" s="45"/>
    </row>
    <row r="225" customFormat="false" ht="18" hidden="false" customHeight="true" outlineLevel="0" collapsed="false">
      <c r="A225" s="44" t="str">
        <f aca="false">IF(B225="","",ROW()-4)</f>
        <v/>
      </c>
      <c r="B225" s="45"/>
      <c r="C225" s="46"/>
      <c r="D225" s="46"/>
      <c r="E225" s="47"/>
      <c r="F225" s="44" t="str">
        <f aca="true">IF(OR(B225="",E225="",C225="Done",C225="Cancelled"),"",E225-TODAY())</f>
        <v/>
      </c>
      <c r="G225" s="48" t="str">
        <f aca="true">IF(OR(B225="",C225="Done",C225="Cancelled"),"",IF(AND(E225&lt;&gt;"",E225&lt;TODAY()),"OVERDUE",IF(AND(E225&lt;&gt;"",E225=TODAY()),"DUE TODAY",IF(AND(K225&lt;&gt;"",K225&lt;=TODAY()),"FOLLOW UP",IF(AND(E225&lt;&gt;"",E225&lt;=TODAY()+3),"DUE SOON",IF(E225="","NO DUE DATE",""))))))</f>
        <v/>
      </c>
      <c r="H225" s="45"/>
      <c r="I225" s="46"/>
      <c r="J225" s="45"/>
      <c r="K225" s="47"/>
      <c r="L225" s="47"/>
      <c r="M225" s="47"/>
      <c r="N225" s="45"/>
    </row>
    <row r="226" customFormat="false" ht="18" hidden="false" customHeight="true" outlineLevel="0" collapsed="false">
      <c r="A226" s="44" t="str">
        <f aca="false">IF(B226="","",ROW()-4)</f>
        <v/>
      </c>
      <c r="B226" s="45"/>
      <c r="C226" s="46"/>
      <c r="D226" s="46"/>
      <c r="E226" s="47"/>
      <c r="F226" s="44" t="str">
        <f aca="true">IF(OR(B226="",E226="",C226="Done",C226="Cancelled"),"",E226-TODAY())</f>
        <v/>
      </c>
      <c r="G226" s="48" t="str">
        <f aca="true">IF(OR(B226="",C226="Done",C226="Cancelled"),"",IF(AND(E226&lt;&gt;"",E226&lt;TODAY()),"OVERDUE",IF(AND(E226&lt;&gt;"",E226=TODAY()),"DUE TODAY",IF(AND(K226&lt;&gt;"",K226&lt;=TODAY()),"FOLLOW UP",IF(AND(E226&lt;&gt;"",E226&lt;=TODAY()+3),"DUE SOON",IF(E226="","NO DUE DATE",""))))))</f>
        <v/>
      </c>
      <c r="H226" s="45"/>
      <c r="I226" s="46"/>
      <c r="J226" s="45"/>
      <c r="K226" s="47"/>
      <c r="L226" s="47"/>
      <c r="M226" s="47"/>
      <c r="N226" s="45"/>
    </row>
    <row r="227" customFormat="false" ht="18" hidden="false" customHeight="true" outlineLevel="0" collapsed="false">
      <c r="A227" s="44" t="str">
        <f aca="false">IF(B227="","",ROW()-4)</f>
        <v/>
      </c>
      <c r="B227" s="45"/>
      <c r="C227" s="46"/>
      <c r="D227" s="46"/>
      <c r="E227" s="47"/>
      <c r="F227" s="44" t="str">
        <f aca="true">IF(OR(B227="",E227="",C227="Done",C227="Cancelled"),"",E227-TODAY())</f>
        <v/>
      </c>
      <c r="G227" s="48" t="str">
        <f aca="true">IF(OR(B227="",C227="Done",C227="Cancelled"),"",IF(AND(E227&lt;&gt;"",E227&lt;TODAY()),"OVERDUE",IF(AND(E227&lt;&gt;"",E227=TODAY()),"DUE TODAY",IF(AND(K227&lt;&gt;"",K227&lt;=TODAY()),"FOLLOW UP",IF(AND(E227&lt;&gt;"",E227&lt;=TODAY()+3),"DUE SOON",IF(E227="","NO DUE DATE",""))))))</f>
        <v/>
      </c>
      <c r="H227" s="45"/>
      <c r="I227" s="46"/>
      <c r="J227" s="45"/>
      <c r="K227" s="47"/>
      <c r="L227" s="47"/>
      <c r="M227" s="47"/>
      <c r="N227" s="45"/>
    </row>
    <row r="228" customFormat="false" ht="18" hidden="false" customHeight="true" outlineLevel="0" collapsed="false">
      <c r="A228" s="44" t="str">
        <f aca="false">IF(B228="","",ROW()-4)</f>
        <v/>
      </c>
      <c r="B228" s="45"/>
      <c r="C228" s="46"/>
      <c r="D228" s="46"/>
      <c r="E228" s="47"/>
      <c r="F228" s="44" t="str">
        <f aca="true">IF(OR(B228="",E228="",C228="Done",C228="Cancelled"),"",E228-TODAY())</f>
        <v/>
      </c>
      <c r="G228" s="48" t="str">
        <f aca="true">IF(OR(B228="",C228="Done",C228="Cancelled"),"",IF(AND(E228&lt;&gt;"",E228&lt;TODAY()),"OVERDUE",IF(AND(E228&lt;&gt;"",E228=TODAY()),"DUE TODAY",IF(AND(K228&lt;&gt;"",K228&lt;=TODAY()),"FOLLOW UP",IF(AND(E228&lt;&gt;"",E228&lt;=TODAY()+3),"DUE SOON",IF(E228="","NO DUE DATE",""))))))</f>
        <v/>
      </c>
      <c r="H228" s="45"/>
      <c r="I228" s="46"/>
      <c r="J228" s="45"/>
      <c r="K228" s="47"/>
      <c r="L228" s="47"/>
      <c r="M228" s="47"/>
      <c r="N228" s="45"/>
    </row>
    <row r="229" customFormat="false" ht="18" hidden="false" customHeight="true" outlineLevel="0" collapsed="false">
      <c r="A229" s="44" t="str">
        <f aca="false">IF(B229="","",ROW()-4)</f>
        <v/>
      </c>
      <c r="B229" s="45"/>
      <c r="C229" s="46"/>
      <c r="D229" s="46"/>
      <c r="E229" s="47"/>
      <c r="F229" s="44" t="str">
        <f aca="true">IF(OR(B229="",E229="",C229="Done",C229="Cancelled"),"",E229-TODAY())</f>
        <v/>
      </c>
      <c r="G229" s="48" t="str">
        <f aca="true">IF(OR(B229="",C229="Done",C229="Cancelled"),"",IF(AND(E229&lt;&gt;"",E229&lt;TODAY()),"OVERDUE",IF(AND(E229&lt;&gt;"",E229=TODAY()),"DUE TODAY",IF(AND(K229&lt;&gt;"",K229&lt;=TODAY()),"FOLLOW UP",IF(AND(E229&lt;&gt;"",E229&lt;=TODAY()+3),"DUE SOON",IF(E229="","NO DUE DATE",""))))))</f>
        <v/>
      </c>
      <c r="H229" s="45"/>
      <c r="I229" s="46"/>
      <c r="J229" s="45"/>
      <c r="K229" s="47"/>
      <c r="L229" s="47"/>
      <c r="M229" s="47"/>
      <c r="N229" s="45"/>
    </row>
    <row r="230" customFormat="false" ht="18" hidden="false" customHeight="true" outlineLevel="0" collapsed="false">
      <c r="A230" s="44" t="str">
        <f aca="false">IF(B230="","",ROW()-4)</f>
        <v/>
      </c>
      <c r="B230" s="45"/>
      <c r="C230" s="46"/>
      <c r="D230" s="46"/>
      <c r="E230" s="47"/>
      <c r="F230" s="44" t="str">
        <f aca="true">IF(OR(B230="",E230="",C230="Done",C230="Cancelled"),"",E230-TODAY())</f>
        <v/>
      </c>
      <c r="G230" s="48" t="str">
        <f aca="true">IF(OR(B230="",C230="Done",C230="Cancelled"),"",IF(AND(E230&lt;&gt;"",E230&lt;TODAY()),"OVERDUE",IF(AND(E230&lt;&gt;"",E230=TODAY()),"DUE TODAY",IF(AND(K230&lt;&gt;"",K230&lt;=TODAY()),"FOLLOW UP",IF(AND(E230&lt;&gt;"",E230&lt;=TODAY()+3),"DUE SOON",IF(E230="","NO DUE DATE",""))))))</f>
        <v/>
      </c>
      <c r="H230" s="45"/>
      <c r="I230" s="46"/>
      <c r="J230" s="45"/>
      <c r="K230" s="47"/>
      <c r="L230" s="47"/>
      <c r="M230" s="47"/>
      <c r="N230" s="45"/>
    </row>
    <row r="231" customFormat="false" ht="18" hidden="false" customHeight="true" outlineLevel="0" collapsed="false">
      <c r="A231" s="44" t="str">
        <f aca="false">IF(B231="","",ROW()-4)</f>
        <v/>
      </c>
      <c r="B231" s="45"/>
      <c r="C231" s="46"/>
      <c r="D231" s="46"/>
      <c r="E231" s="47"/>
      <c r="F231" s="44" t="str">
        <f aca="true">IF(OR(B231="",E231="",C231="Done",C231="Cancelled"),"",E231-TODAY())</f>
        <v/>
      </c>
      <c r="G231" s="48" t="str">
        <f aca="true">IF(OR(B231="",C231="Done",C231="Cancelled"),"",IF(AND(E231&lt;&gt;"",E231&lt;TODAY()),"OVERDUE",IF(AND(E231&lt;&gt;"",E231=TODAY()),"DUE TODAY",IF(AND(K231&lt;&gt;"",K231&lt;=TODAY()),"FOLLOW UP",IF(AND(E231&lt;&gt;"",E231&lt;=TODAY()+3),"DUE SOON",IF(E231="","NO DUE DATE",""))))))</f>
        <v/>
      </c>
      <c r="H231" s="45"/>
      <c r="I231" s="46"/>
      <c r="J231" s="45"/>
      <c r="K231" s="47"/>
      <c r="L231" s="47"/>
      <c r="M231" s="47"/>
      <c r="N231" s="45"/>
    </row>
    <row r="232" customFormat="false" ht="18" hidden="false" customHeight="true" outlineLevel="0" collapsed="false">
      <c r="A232" s="44" t="str">
        <f aca="false">IF(B232="","",ROW()-4)</f>
        <v/>
      </c>
      <c r="B232" s="45"/>
      <c r="C232" s="46"/>
      <c r="D232" s="46"/>
      <c r="E232" s="47"/>
      <c r="F232" s="44" t="str">
        <f aca="true">IF(OR(B232="",E232="",C232="Done",C232="Cancelled"),"",E232-TODAY())</f>
        <v/>
      </c>
      <c r="G232" s="48" t="str">
        <f aca="true">IF(OR(B232="",C232="Done",C232="Cancelled"),"",IF(AND(E232&lt;&gt;"",E232&lt;TODAY()),"OVERDUE",IF(AND(E232&lt;&gt;"",E232=TODAY()),"DUE TODAY",IF(AND(K232&lt;&gt;"",K232&lt;=TODAY()),"FOLLOW UP",IF(AND(E232&lt;&gt;"",E232&lt;=TODAY()+3),"DUE SOON",IF(E232="","NO DUE DATE",""))))))</f>
        <v/>
      </c>
      <c r="H232" s="45"/>
      <c r="I232" s="46"/>
      <c r="J232" s="45"/>
      <c r="K232" s="47"/>
      <c r="L232" s="47"/>
      <c r="M232" s="47"/>
      <c r="N232" s="45"/>
    </row>
    <row r="233" customFormat="false" ht="18" hidden="false" customHeight="true" outlineLevel="0" collapsed="false">
      <c r="A233" s="44" t="str">
        <f aca="false">IF(B233="","",ROW()-4)</f>
        <v/>
      </c>
      <c r="B233" s="45"/>
      <c r="C233" s="46"/>
      <c r="D233" s="46"/>
      <c r="E233" s="47"/>
      <c r="F233" s="44" t="str">
        <f aca="true">IF(OR(B233="",E233="",C233="Done",C233="Cancelled"),"",E233-TODAY())</f>
        <v/>
      </c>
      <c r="G233" s="48" t="str">
        <f aca="true">IF(OR(B233="",C233="Done",C233="Cancelled"),"",IF(AND(E233&lt;&gt;"",E233&lt;TODAY()),"OVERDUE",IF(AND(E233&lt;&gt;"",E233=TODAY()),"DUE TODAY",IF(AND(K233&lt;&gt;"",K233&lt;=TODAY()),"FOLLOW UP",IF(AND(E233&lt;&gt;"",E233&lt;=TODAY()+3),"DUE SOON",IF(E233="","NO DUE DATE",""))))))</f>
        <v/>
      </c>
      <c r="H233" s="45"/>
      <c r="I233" s="46"/>
      <c r="J233" s="45"/>
      <c r="K233" s="47"/>
      <c r="L233" s="47"/>
      <c r="M233" s="47"/>
      <c r="N233" s="45"/>
    </row>
    <row r="234" customFormat="false" ht="18" hidden="false" customHeight="true" outlineLevel="0" collapsed="false">
      <c r="A234" s="44" t="str">
        <f aca="false">IF(B234="","",ROW()-4)</f>
        <v/>
      </c>
      <c r="B234" s="45"/>
      <c r="C234" s="46"/>
      <c r="D234" s="46"/>
      <c r="E234" s="47"/>
      <c r="F234" s="44" t="str">
        <f aca="true">IF(OR(B234="",E234="",C234="Done",C234="Cancelled"),"",E234-TODAY())</f>
        <v/>
      </c>
      <c r="G234" s="48" t="str">
        <f aca="true">IF(OR(B234="",C234="Done",C234="Cancelled"),"",IF(AND(E234&lt;&gt;"",E234&lt;TODAY()),"OVERDUE",IF(AND(E234&lt;&gt;"",E234=TODAY()),"DUE TODAY",IF(AND(K234&lt;&gt;"",K234&lt;=TODAY()),"FOLLOW UP",IF(AND(E234&lt;&gt;"",E234&lt;=TODAY()+3),"DUE SOON",IF(E234="","NO DUE DATE",""))))))</f>
        <v/>
      </c>
      <c r="H234" s="45"/>
      <c r="I234" s="46"/>
      <c r="J234" s="45"/>
      <c r="K234" s="47"/>
      <c r="L234" s="47"/>
      <c r="M234" s="47"/>
      <c r="N234" s="45"/>
    </row>
    <row r="235" customFormat="false" ht="18" hidden="false" customHeight="true" outlineLevel="0" collapsed="false">
      <c r="A235" s="44" t="str">
        <f aca="false">IF(B235="","",ROW()-4)</f>
        <v/>
      </c>
      <c r="B235" s="45"/>
      <c r="C235" s="46"/>
      <c r="D235" s="46"/>
      <c r="E235" s="47"/>
      <c r="F235" s="44" t="str">
        <f aca="true">IF(OR(B235="",E235="",C235="Done",C235="Cancelled"),"",E235-TODAY())</f>
        <v/>
      </c>
      <c r="G235" s="48" t="str">
        <f aca="true">IF(OR(B235="",C235="Done",C235="Cancelled"),"",IF(AND(E235&lt;&gt;"",E235&lt;TODAY()),"OVERDUE",IF(AND(E235&lt;&gt;"",E235=TODAY()),"DUE TODAY",IF(AND(K235&lt;&gt;"",K235&lt;=TODAY()),"FOLLOW UP",IF(AND(E235&lt;&gt;"",E235&lt;=TODAY()+3),"DUE SOON",IF(E235="","NO DUE DATE",""))))))</f>
        <v/>
      </c>
      <c r="H235" s="45"/>
      <c r="I235" s="46"/>
      <c r="J235" s="45"/>
      <c r="K235" s="47"/>
      <c r="L235" s="47"/>
      <c r="M235" s="47"/>
      <c r="N235" s="45"/>
    </row>
    <row r="236" customFormat="false" ht="18" hidden="false" customHeight="true" outlineLevel="0" collapsed="false">
      <c r="A236" s="44" t="str">
        <f aca="false">IF(B236="","",ROW()-4)</f>
        <v/>
      </c>
      <c r="B236" s="45"/>
      <c r="C236" s="46"/>
      <c r="D236" s="46"/>
      <c r="E236" s="47"/>
      <c r="F236" s="44" t="str">
        <f aca="true">IF(OR(B236="",E236="",C236="Done",C236="Cancelled"),"",E236-TODAY())</f>
        <v/>
      </c>
      <c r="G236" s="48" t="str">
        <f aca="true">IF(OR(B236="",C236="Done",C236="Cancelled"),"",IF(AND(E236&lt;&gt;"",E236&lt;TODAY()),"OVERDUE",IF(AND(E236&lt;&gt;"",E236=TODAY()),"DUE TODAY",IF(AND(K236&lt;&gt;"",K236&lt;=TODAY()),"FOLLOW UP",IF(AND(E236&lt;&gt;"",E236&lt;=TODAY()+3),"DUE SOON",IF(E236="","NO DUE DATE",""))))))</f>
        <v/>
      </c>
      <c r="H236" s="45"/>
      <c r="I236" s="46"/>
      <c r="J236" s="45"/>
      <c r="K236" s="47"/>
      <c r="L236" s="47"/>
      <c r="M236" s="47"/>
      <c r="N236" s="45"/>
    </row>
    <row r="237" customFormat="false" ht="18" hidden="false" customHeight="true" outlineLevel="0" collapsed="false">
      <c r="A237" s="44" t="str">
        <f aca="false">IF(B237="","",ROW()-4)</f>
        <v/>
      </c>
      <c r="B237" s="45"/>
      <c r="C237" s="46"/>
      <c r="D237" s="46"/>
      <c r="E237" s="47"/>
      <c r="F237" s="44" t="str">
        <f aca="true">IF(OR(B237="",E237="",C237="Done",C237="Cancelled"),"",E237-TODAY())</f>
        <v/>
      </c>
      <c r="G237" s="48" t="str">
        <f aca="true">IF(OR(B237="",C237="Done",C237="Cancelled"),"",IF(AND(E237&lt;&gt;"",E237&lt;TODAY()),"OVERDUE",IF(AND(E237&lt;&gt;"",E237=TODAY()),"DUE TODAY",IF(AND(K237&lt;&gt;"",K237&lt;=TODAY()),"FOLLOW UP",IF(AND(E237&lt;&gt;"",E237&lt;=TODAY()+3),"DUE SOON",IF(E237="","NO DUE DATE",""))))))</f>
        <v/>
      </c>
      <c r="H237" s="45"/>
      <c r="I237" s="46"/>
      <c r="J237" s="45"/>
      <c r="K237" s="47"/>
      <c r="L237" s="47"/>
      <c r="M237" s="47"/>
      <c r="N237" s="45"/>
    </row>
    <row r="238" customFormat="false" ht="18" hidden="false" customHeight="true" outlineLevel="0" collapsed="false">
      <c r="A238" s="44" t="str">
        <f aca="false">IF(B238="","",ROW()-4)</f>
        <v/>
      </c>
      <c r="B238" s="45"/>
      <c r="C238" s="46"/>
      <c r="D238" s="46"/>
      <c r="E238" s="47"/>
      <c r="F238" s="44" t="str">
        <f aca="true">IF(OR(B238="",E238="",C238="Done",C238="Cancelled"),"",E238-TODAY())</f>
        <v/>
      </c>
      <c r="G238" s="48" t="str">
        <f aca="true">IF(OR(B238="",C238="Done",C238="Cancelled"),"",IF(AND(E238&lt;&gt;"",E238&lt;TODAY()),"OVERDUE",IF(AND(E238&lt;&gt;"",E238=TODAY()),"DUE TODAY",IF(AND(K238&lt;&gt;"",K238&lt;=TODAY()),"FOLLOW UP",IF(AND(E238&lt;&gt;"",E238&lt;=TODAY()+3),"DUE SOON",IF(E238="","NO DUE DATE",""))))))</f>
        <v/>
      </c>
      <c r="H238" s="45"/>
      <c r="I238" s="46"/>
      <c r="J238" s="45"/>
      <c r="K238" s="47"/>
      <c r="L238" s="47"/>
      <c r="M238" s="47"/>
      <c r="N238" s="45"/>
    </row>
    <row r="239" customFormat="false" ht="18" hidden="false" customHeight="true" outlineLevel="0" collapsed="false">
      <c r="A239" s="44" t="str">
        <f aca="false">IF(B239="","",ROW()-4)</f>
        <v/>
      </c>
      <c r="B239" s="45"/>
      <c r="C239" s="46"/>
      <c r="D239" s="46"/>
      <c r="E239" s="47"/>
      <c r="F239" s="44" t="str">
        <f aca="true">IF(OR(B239="",E239="",C239="Done",C239="Cancelled"),"",E239-TODAY())</f>
        <v/>
      </c>
      <c r="G239" s="48" t="str">
        <f aca="true">IF(OR(B239="",C239="Done",C239="Cancelled"),"",IF(AND(E239&lt;&gt;"",E239&lt;TODAY()),"OVERDUE",IF(AND(E239&lt;&gt;"",E239=TODAY()),"DUE TODAY",IF(AND(K239&lt;&gt;"",K239&lt;=TODAY()),"FOLLOW UP",IF(AND(E239&lt;&gt;"",E239&lt;=TODAY()+3),"DUE SOON",IF(E239="","NO DUE DATE",""))))))</f>
        <v/>
      </c>
      <c r="H239" s="45"/>
      <c r="I239" s="46"/>
      <c r="J239" s="45"/>
      <c r="K239" s="47"/>
      <c r="L239" s="47"/>
      <c r="M239" s="47"/>
      <c r="N239" s="45"/>
    </row>
    <row r="240" customFormat="false" ht="18" hidden="false" customHeight="true" outlineLevel="0" collapsed="false">
      <c r="A240" s="44" t="str">
        <f aca="false">IF(B240="","",ROW()-4)</f>
        <v/>
      </c>
      <c r="B240" s="45"/>
      <c r="C240" s="46"/>
      <c r="D240" s="46"/>
      <c r="E240" s="47"/>
      <c r="F240" s="44" t="str">
        <f aca="true">IF(OR(B240="",E240="",C240="Done",C240="Cancelled"),"",E240-TODAY())</f>
        <v/>
      </c>
      <c r="G240" s="48" t="str">
        <f aca="true">IF(OR(B240="",C240="Done",C240="Cancelled"),"",IF(AND(E240&lt;&gt;"",E240&lt;TODAY()),"OVERDUE",IF(AND(E240&lt;&gt;"",E240=TODAY()),"DUE TODAY",IF(AND(K240&lt;&gt;"",K240&lt;=TODAY()),"FOLLOW UP",IF(AND(E240&lt;&gt;"",E240&lt;=TODAY()+3),"DUE SOON",IF(E240="","NO DUE DATE",""))))))</f>
        <v/>
      </c>
      <c r="H240" s="45"/>
      <c r="I240" s="46"/>
      <c r="J240" s="45"/>
      <c r="K240" s="47"/>
      <c r="L240" s="47"/>
      <c r="M240" s="47"/>
      <c r="N240" s="45"/>
    </row>
    <row r="241" customFormat="false" ht="18" hidden="false" customHeight="true" outlineLevel="0" collapsed="false">
      <c r="A241" s="44" t="str">
        <f aca="false">IF(B241="","",ROW()-4)</f>
        <v/>
      </c>
      <c r="B241" s="45"/>
      <c r="C241" s="46"/>
      <c r="D241" s="46"/>
      <c r="E241" s="47"/>
      <c r="F241" s="44" t="str">
        <f aca="true">IF(OR(B241="",E241="",C241="Done",C241="Cancelled"),"",E241-TODAY())</f>
        <v/>
      </c>
      <c r="G241" s="48" t="str">
        <f aca="true">IF(OR(B241="",C241="Done",C241="Cancelled"),"",IF(AND(E241&lt;&gt;"",E241&lt;TODAY()),"OVERDUE",IF(AND(E241&lt;&gt;"",E241=TODAY()),"DUE TODAY",IF(AND(K241&lt;&gt;"",K241&lt;=TODAY()),"FOLLOW UP",IF(AND(E241&lt;&gt;"",E241&lt;=TODAY()+3),"DUE SOON",IF(E241="","NO DUE DATE",""))))))</f>
        <v/>
      </c>
      <c r="H241" s="45"/>
      <c r="I241" s="46"/>
      <c r="J241" s="45"/>
      <c r="K241" s="47"/>
      <c r="L241" s="47"/>
      <c r="M241" s="47"/>
      <c r="N241" s="45"/>
    </row>
    <row r="242" customFormat="false" ht="18" hidden="false" customHeight="true" outlineLevel="0" collapsed="false">
      <c r="A242" s="44" t="str">
        <f aca="false">IF(B242="","",ROW()-4)</f>
        <v/>
      </c>
      <c r="B242" s="45"/>
      <c r="C242" s="46"/>
      <c r="D242" s="46"/>
      <c r="E242" s="47"/>
      <c r="F242" s="44" t="str">
        <f aca="true">IF(OR(B242="",E242="",C242="Done",C242="Cancelled"),"",E242-TODAY())</f>
        <v/>
      </c>
      <c r="G242" s="48" t="str">
        <f aca="true">IF(OR(B242="",C242="Done",C242="Cancelled"),"",IF(AND(E242&lt;&gt;"",E242&lt;TODAY()),"OVERDUE",IF(AND(E242&lt;&gt;"",E242=TODAY()),"DUE TODAY",IF(AND(K242&lt;&gt;"",K242&lt;=TODAY()),"FOLLOW UP",IF(AND(E242&lt;&gt;"",E242&lt;=TODAY()+3),"DUE SOON",IF(E242="","NO DUE DATE",""))))))</f>
        <v/>
      </c>
      <c r="H242" s="45"/>
      <c r="I242" s="46"/>
      <c r="J242" s="45"/>
      <c r="K242" s="47"/>
      <c r="L242" s="47"/>
      <c r="M242" s="47"/>
      <c r="N242" s="45"/>
    </row>
    <row r="243" customFormat="false" ht="18" hidden="false" customHeight="true" outlineLevel="0" collapsed="false">
      <c r="A243" s="44" t="str">
        <f aca="false">IF(B243="","",ROW()-4)</f>
        <v/>
      </c>
      <c r="B243" s="45"/>
      <c r="C243" s="46"/>
      <c r="D243" s="46"/>
      <c r="E243" s="47"/>
      <c r="F243" s="44" t="str">
        <f aca="true">IF(OR(B243="",E243="",C243="Done",C243="Cancelled"),"",E243-TODAY())</f>
        <v/>
      </c>
      <c r="G243" s="48" t="str">
        <f aca="true">IF(OR(B243="",C243="Done",C243="Cancelled"),"",IF(AND(E243&lt;&gt;"",E243&lt;TODAY()),"OVERDUE",IF(AND(E243&lt;&gt;"",E243=TODAY()),"DUE TODAY",IF(AND(K243&lt;&gt;"",K243&lt;=TODAY()),"FOLLOW UP",IF(AND(E243&lt;&gt;"",E243&lt;=TODAY()+3),"DUE SOON",IF(E243="","NO DUE DATE",""))))))</f>
        <v/>
      </c>
      <c r="H243" s="45"/>
      <c r="I243" s="46"/>
      <c r="J243" s="45"/>
      <c r="K243" s="47"/>
      <c r="L243" s="47"/>
      <c r="M243" s="47"/>
      <c r="N243" s="45"/>
    </row>
    <row r="244" customFormat="false" ht="18" hidden="false" customHeight="true" outlineLevel="0" collapsed="false">
      <c r="A244" s="44" t="str">
        <f aca="false">IF(B244="","",ROW()-4)</f>
        <v/>
      </c>
      <c r="B244" s="45"/>
      <c r="C244" s="46"/>
      <c r="D244" s="46"/>
      <c r="E244" s="47"/>
      <c r="F244" s="44" t="str">
        <f aca="true">IF(OR(B244="",E244="",C244="Done",C244="Cancelled"),"",E244-TODAY())</f>
        <v/>
      </c>
      <c r="G244" s="48" t="str">
        <f aca="true">IF(OR(B244="",C244="Done",C244="Cancelled"),"",IF(AND(E244&lt;&gt;"",E244&lt;TODAY()),"OVERDUE",IF(AND(E244&lt;&gt;"",E244=TODAY()),"DUE TODAY",IF(AND(K244&lt;&gt;"",K244&lt;=TODAY()),"FOLLOW UP",IF(AND(E244&lt;&gt;"",E244&lt;=TODAY()+3),"DUE SOON",IF(E244="","NO DUE DATE",""))))))</f>
        <v/>
      </c>
      <c r="H244" s="45"/>
      <c r="I244" s="46"/>
      <c r="J244" s="45"/>
      <c r="K244" s="47"/>
      <c r="L244" s="47"/>
      <c r="M244" s="47"/>
      <c r="N244" s="45"/>
    </row>
    <row r="245" customFormat="false" ht="18" hidden="false" customHeight="true" outlineLevel="0" collapsed="false">
      <c r="A245" s="44" t="str">
        <f aca="false">IF(B245="","",ROW()-4)</f>
        <v/>
      </c>
      <c r="B245" s="45"/>
      <c r="C245" s="46"/>
      <c r="D245" s="46"/>
      <c r="E245" s="47"/>
      <c r="F245" s="44" t="str">
        <f aca="true">IF(OR(B245="",E245="",C245="Done",C245="Cancelled"),"",E245-TODAY())</f>
        <v/>
      </c>
      <c r="G245" s="48" t="str">
        <f aca="true">IF(OR(B245="",C245="Done",C245="Cancelled"),"",IF(AND(E245&lt;&gt;"",E245&lt;TODAY()),"OVERDUE",IF(AND(E245&lt;&gt;"",E245=TODAY()),"DUE TODAY",IF(AND(K245&lt;&gt;"",K245&lt;=TODAY()),"FOLLOW UP",IF(AND(E245&lt;&gt;"",E245&lt;=TODAY()+3),"DUE SOON",IF(E245="","NO DUE DATE",""))))))</f>
        <v/>
      </c>
      <c r="H245" s="45"/>
      <c r="I245" s="46"/>
      <c r="J245" s="45"/>
      <c r="K245" s="47"/>
      <c r="L245" s="47"/>
      <c r="M245" s="47"/>
      <c r="N245" s="45"/>
    </row>
    <row r="246" customFormat="false" ht="18" hidden="false" customHeight="true" outlineLevel="0" collapsed="false">
      <c r="A246" s="44" t="str">
        <f aca="false">IF(B246="","",ROW()-4)</f>
        <v/>
      </c>
      <c r="B246" s="45"/>
      <c r="C246" s="46"/>
      <c r="D246" s="46"/>
      <c r="E246" s="47"/>
      <c r="F246" s="44" t="str">
        <f aca="true">IF(OR(B246="",E246="",C246="Done",C246="Cancelled"),"",E246-TODAY())</f>
        <v/>
      </c>
      <c r="G246" s="48" t="str">
        <f aca="true">IF(OR(B246="",C246="Done",C246="Cancelled"),"",IF(AND(E246&lt;&gt;"",E246&lt;TODAY()),"OVERDUE",IF(AND(E246&lt;&gt;"",E246=TODAY()),"DUE TODAY",IF(AND(K246&lt;&gt;"",K246&lt;=TODAY()),"FOLLOW UP",IF(AND(E246&lt;&gt;"",E246&lt;=TODAY()+3),"DUE SOON",IF(E246="","NO DUE DATE",""))))))</f>
        <v/>
      </c>
      <c r="H246" s="45"/>
      <c r="I246" s="46"/>
      <c r="J246" s="45"/>
      <c r="K246" s="47"/>
      <c r="L246" s="47"/>
      <c r="M246" s="47"/>
      <c r="N246" s="45"/>
    </row>
    <row r="247" customFormat="false" ht="18" hidden="false" customHeight="true" outlineLevel="0" collapsed="false">
      <c r="A247" s="44" t="str">
        <f aca="false">IF(B247="","",ROW()-4)</f>
        <v/>
      </c>
      <c r="B247" s="45"/>
      <c r="C247" s="46"/>
      <c r="D247" s="46"/>
      <c r="E247" s="47"/>
      <c r="F247" s="44" t="str">
        <f aca="true">IF(OR(B247="",E247="",C247="Done",C247="Cancelled"),"",E247-TODAY())</f>
        <v/>
      </c>
      <c r="G247" s="48" t="str">
        <f aca="true">IF(OR(B247="",C247="Done",C247="Cancelled"),"",IF(AND(E247&lt;&gt;"",E247&lt;TODAY()),"OVERDUE",IF(AND(E247&lt;&gt;"",E247=TODAY()),"DUE TODAY",IF(AND(K247&lt;&gt;"",K247&lt;=TODAY()),"FOLLOW UP",IF(AND(E247&lt;&gt;"",E247&lt;=TODAY()+3),"DUE SOON",IF(E247="","NO DUE DATE",""))))))</f>
        <v/>
      </c>
      <c r="H247" s="45"/>
      <c r="I247" s="46"/>
      <c r="J247" s="45"/>
      <c r="K247" s="47"/>
      <c r="L247" s="47"/>
      <c r="M247" s="47"/>
      <c r="N247" s="45"/>
    </row>
    <row r="248" customFormat="false" ht="18" hidden="false" customHeight="true" outlineLevel="0" collapsed="false">
      <c r="A248" s="44" t="str">
        <f aca="false">IF(B248="","",ROW()-4)</f>
        <v/>
      </c>
      <c r="B248" s="45"/>
      <c r="C248" s="46"/>
      <c r="D248" s="46"/>
      <c r="E248" s="47"/>
      <c r="F248" s="44" t="str">
        <f aca="true">IF(OR(B248="",E248="",C248="Done",C248="Cancelled"),"",E248-TODAY())</f>
        <v/>
      </c>
      <c r="G248" s="48" t="str">
        <f aca="true">IF(OR(B248="",C248="Done",C248="Cancelled"),"",IF(AND(E248&lt;&gt;"",E248&lt;TODAY()),"OVERDUE",IF(AND(E248&lt;&gt;"",E248=TODAY()),"DUE TODAY",IF(AND(K248&lt;&gt;"",K248&lt;=TODAY()),"FOLLOW UP",IF(AND(E248&lt;&gt;"",E248&lt;=TODAY()+3),"DUE SOON",IF(E248="","NO DUE DATE",""))))))</f>
        <v/>
      </c>
      <c r="H248" s="45"/>
      <c r="I248" s="46"/>
      <c r="J248" s="45"/>
      <c r="K248" s="47"/>
      <c r="L248" s="47"/>
      <c r="M248" s="47"/>
      <c r="N248" s="45"/>
    </row>
    <row r="249" customFormat="false" ht="18" hidden="false" customHeight="true" outlineLevel="0" collapsed="false">
      <c r="A249" s="44" t="str">
        <f aca="false">IF(B249="","",ROW()-4)</f>
        <v/>
      </c>
      <c r="B249" s="45"/>
      <c r="C249" s="46"/>
      <c r="D249" s="46"/>
      <c r="E249" s="47"/>
      <c r="F249" s="44" t="str">
        <f aca="true">IF(OR(B249="",E249="",C249="Done",C249="Cancelled"),"",E249-TODAY())</f>
        <v/>
      </c>
      <c r="G249" s="48" t="str">
        <f aca="true">IF(OR(B249="",C249="Done",C249="Cancelled"),"",IF(AND(E249&lt;&gt;"",E249&lt;TODAY()),"OVERDUE",IF(AND(E249&lt;&gt;"",E249=TODAY()),"DUE TODAY",IF(AND(K249&lt;&gt;"",K249&lt;=TODAY()),"FOLLOW UP",IF(AND(E249&lt;&gt;"",E249&lt;=TODAY()+3),"DUE SOON",IF(E249="","NO DUE DATE",""))))))</f>
        <v/>
      </c>
      <c r="H249" s="45"/>
      <c r="I249" s="46"/>
      <c r="J249" s="45"/>
      <c r="K249" s="47"/>
      <c r="L249" s="47"/>
      <c r="M249" s="47"/>
      <c r="N249" s="45"/>
    </row>
    <row r="250" customFormat="false" ht="18" hidden="false" customHeight="true" outlineLevel="0" collapsed="false">
      <c r="A250" s="44" t="str">
        <f aca="false">IF(B250="","",ROW()-4)</f>
        <v/>
      </c>
      <c r="B250" s="45"/>
      <c r="C250" s="46"/>
      <c r="D250" s="46"/>
      <c r="E250" s="47"/>
      <c r="F250" s="44" t="str">
        <f aca="true">IF(OR(B250="",E250="",C250="Done",C250="Cancelled"),"",E250-TODAY())</f>
        <v/>
      </c>
      <c r="G250" s="48" t="str">
        <f aca="true">IF(OR(B250="",C250="Done",C250="Cancelled"),"",IF(AND(E250&lt;&gt;"",E250&lt;TODAY()),"OVERDUE",IF(AND(E250&lt;&gt;"",E250=TODAY()),"DUE TODAY",IF(AND(K250&lt;&gt;"",K250&lt;=TODAY()),"FOLLOW UP",IF(AND(E250&lt;&gt;"",E250&lt;=TODAY()+3),"DUE SOON",IF(E250="","NO DUE DATE",""))))))</f>
        <v/>
      </c>
      <c r="H250" s="45"/>
      <c r="I250" s="46"/>
      <c r="J250" s="45"/>
      <c r="K250" s="47"/>
      <c r="L250" s="47"/>
      <c r="M250" s="47"/>
      <c r="N250" s="45"/>
    </row>
    <row r="251" customFormat="false" ht="18" hidden="false" customHeight="true" outlineLevel="0" collapsed="false">
      <c r="A251" s="44" t="str">
        <f aca="false">IF(B251="","",ROW()-4)</f>
        <v/>
      </c>
      <c r="B251" s="45"/>
      <c r="C251" s="46"/>
      <c r="D251" s="46"/>
      <c r="E251" s="47"/>
      <c r="F251" s="44" t="str">
        <f aca="true">IF(OR(B251="",E251="",C251="Done",C251="Cancelled"),"",E251-TODAY())</f>
        <v/>
      </c>
      <c r="G251" s="48" t="str">
        <f aca="true">IF(OR(B251="",C251="Done",C251="Cancelled"),"",IF(AND(E251&lt;&gt;"",E251&lt;TODAY()),"OVERDUE",IF(AND(E251&lt;&gt;"",E251=TODAY()),"DUE TODAY",IF(AND(K251&lt;&gt;"",K251&lt;=TODAY()),"FOLLOW UP",IF(AND(E251&lt;&gt;"",E251&lt;=TODAY()+3),"DUE SOON",IF(E251="","NO DUE DATE",""))))))</f>
        <v/>
      </c>
      <c r="H251" s="45"/>
      <c r="I251" s="46"/>
      <c r="J251" s="45"/>
      <c r="K251" s="47"/>
      <c r="L251" s="47"/>
      <c r="M251" s="47"/>
      <c r="N251" s="45"/>
    </row>
    <row r="252" customFormat="false" ht="18" hidden="false" customHeight="true" outlineLevel="0" collapsed="false">
      <c r="A252" s="44" t="str">
        <f aca="false">IF(B252="","",ROW()-4)</f>
        <v/>
      </c>
      <c r="B252" s="45"/>
      <c r="C252" s="46"/>
      <c r="D252" s="46"/>
      <c r="E252" s="47"/>
      <c r="F252" s="44" t="str">
        <f aca="true">IF(OR(B252="",E252="",C252="Done",C252="Cancelled"),"",E252-TODAY())</f>
        <v/>
      </c>
      <c r="G252" s="48" t="str">
        <f aca="true">IF(OR(B252="",C252="Done",C252="Cancelled"),"",IF(AND(E252&lt;&gt;"",E252&lt;TODAY()),"OVERDUE",IF(AND(E252&lt;&gt;"",E252=TODAY()),"DUE TODAY",IF(AND(K252&lt;&gt;"",K252&lt;=TODAY()),"FOLLOW UP",IF(AND(E252&lt;&gt;"",E252&lt;=TODAY()+3),"DUE SOON",IF(E252="","NO DUE DATE",""))))))</f>
        <v/>
      </c>
      <c r="H252" s="45"/>
      <c r="I252" s="46"/>
      <c r="J252" s="45"/>
      <c r="K252" s="47"/>
      <c r="L252" s="47"/>
      <c r="M252" s="47"/>
      <c r="N252" s="45"/>
    </row>
    <row r="253" customFormat="false" ht="18" hidden="false" customHeight="true" outlineLevel="0" collapsed="false">
      <c r="A253" s="44" t="str">
        <f aca="false">IF(B253="","",ROW()-4)</f>
        <v/>
      </c>
      <c r="B253" s="45"/>
      <c r="C253" s="46"/>
      <c r="D253" s="46"/>
      <c r="E253" s="47"/>
      <c r="F253" s="44" t="str">
        <f aca="true">IF(OR(B253="",E253="",C253="Done",C253="Cancelled"),"",E253-TODAY())</f>
        <v/>
      </c>
      <c r="G253" s="48" t="str">
        <f aca="true">IF(OR(B253="",C253="Done",C253="Cancelled"),"",IF(AND(E253&lt;&gt;"",E253&lt;TODAY()),"OVERDUE",IF(AND(E253&lt;&gt;"",E253=TODAY()),"DUE TODAY",IF(AND(K253&lt;&gt;"",K253&lt;=TODAY()),"FOLLOW UP",IF(AND(E253&lt;&gt;"",E253&lt;=TODAY()+3),"DUE SOON",IF(E253="","NO DUE DATE",""))))))</f>
        <v/>
      </c>
      <c r="H253" s="45"/>
      <c r="I253" s="46"/>
      <c r="J253" s="45"/>
      <c r="K253" s="47"/>
      <c r="L253" s="47"/>
      <c r="M253" s="47"/>
      <c r="N253" s="45"/>
    </row>
    <row r="254" customFormat="false" ht="18" hidden="false" customHeight="true" outlineLevel="0" collapsed="false">
      <c r="A254" s="44" t="str">
        <f aca="false">IF(B254="","",ROW()-4)</f>
        <v/>
      </c>
      <c r="B254" s="45"/>
      <c r="C254" s="46"/>
      <c r="D254" s="46"/>
      <c r="E254" s="47"/>
      <c r="F254" s="44" t="str">
        <f aca="true">IF(OR(B254="",E254="",C254="Done",C254="Cancelled"),"",E254-TODAY())</f>
        <v/>
      </c>
      <c r="G254" s="48" t="str">
        <f aca="true">IF(OR(B254="",C254="Done",C254="Cancelled"),"",IF(AND(E254&lt;&gt;"",E254&lt;TODAY()),"OVERDUE",IF(AND(E254&lt;&gt;"",E254=TODAY()),"DUE TODAY",IF(AND(K254&lt;&gt;"",K254&lt;=TODAY()),"FOLLOW UP",IF(AND(E254&lt;&gt;"",E254&lt;=TODAY()+3),"DUE SOON",IF(E254="","NO DUE DATE",""))))))</f>
        <v/>
      </c>
      <c r="H254" s="45"/>
      <c r="I254" s="46"/>
      <c r="J254" s="45"/>
      <c r="K254" s="47"/>
      <c r="L254" s="47"/>
      <c r="M254" s="47"/>
      <c r="N254" s="45"/>
    </row>
    <row r="255" customFormat="false" ht="18" hidden="false" customHeight="true" outlineLevel="0" collapsed="false">
      <c r="A255" s="44" t="str">
        <f aca="false">IF(B255="","",ROW()-4)</f>
        <v/>
      </c>
      <c r="B255" s="45"/>
      <c r="C255" s="46"/>
      <c r="D255" s="46"/>
      <c r="E255" s="47"/>
      <c r="F255" s="44" t="str">
        <f aca="true">IF(OR(B255="",E255="",C255="Done",C255="Cancelled"),"",E255-TODAY())</f>
        <v/>
      </c>
      <c r="G255" s="48" t="str">
        <f aca="true">IF(OR(B255="",C255="Done",C255="Cancelled"),"",IF(AND(E255&lt;&gt;"",E255&lt;TODAY()),"OVERDUE",IF(AND(E255&lt;&gt;"",E255=TODAY()),"DUE TODAY",IF(AND(K255&lt;&gt;"",K255&lt;=TODAY()),"FOLLOW UP",IF(AND(E255&lt;&gt;"",E255&lt;=TODAY()+3),"DUE SOON",IF(E255="","NO DUE DATE",""))))))</f>
        <v/>
      </c>
      <c r="H255" s="45"/>
      <c r="I255" s="46"/>
      <c r="J255" s="45"/>
      <c r="K255" s="47"/>
      <c r="L255" s="47"/>
      <c r="M255" s="47"/>
      <c r="N255" s="45"/>
    </row>
    <row r="256" customFormat="false" ht="18" hidden="false" customHeight="true" outlineLevel="0" collapsed="false">
      <c r="A256" s="44" t="str">
        <f aca="false">IF(B256="","",ROW()-4)</f>
        <v/>
      </c>
      <c r="B256" s="45"/>
      <c r="C256" s="46"/>
      <c r="D256" s="46"/>
      <c r="E256" s="47"/>
      <c r="F256" s="44" t="str">
        <f aca="true">IF(OR(B256="",E256="",C256="Done",C256="Cancelled"),"",E256-TODAY())</f>
        <v/>
      </c>
      <c r="G256" s="48" t="str">
        <f aca="true">IF(OR(B256="",C256="Done",C256="Cancelled"),"",IF(AND(E256&lt;&gt;"",E256&lt;TODAY()),"OVERDUE",IF(AND(E256&lt;&gt;"",E256=TODAY()),"DUE TODAY",IF(AND(K256&lt;&gt;"",K256&lt;=TODAY()),"FOLLOW UP",IF(AND(E256&lt;&gt;"",E256&lt;=TODAY()+3),"DUE SOON",IF(E256="","NO DUE DATE",""))))))</f>
        <v/>
      </c>
      <c r="H256" s="45"/>
      <c r="I256" s="46"/>
      <c r="J256" s="45"/>
      <c r="K256" s="47"/>
      <c r="L256" s="47"/>
      <c r="M256" s="47"/>
      <c r="N256" s="45"/>
    </row>
    <row r="257" customFormat="false" ht="18" hidden="false" customHeight="true" outlineLevel="0" collapsed="false">
      <c r="A257" s="44" t="str">
        <f aca="false">IF(B257="","",ROW()-4)</f>
        <v/>
      </c>
      <c r="B257" s="45"/>
      <c r="C257" s="46"/>
      <c r="D257" s="46"/>
      <c r="E257" s="47"/>
      <c r="F257" s="44" t="str">
        <f aca="true">IF(OR(B257="",E257="",C257="Done",C257="Cancelled"),"",E257-TODAY())</f>
        <v/>
      </c>
      <c r="G257" s="48" t="str">
        <f aca="true">IF(OR(B257="",C257="Done",C257="Cancelled"),"",IF(AND(E257&lt;&gt;"",E257&lt;TODAY()),"OVERDUE",IF(AND(E257&lt;&gt;"",E257=TODAY()),"DUE TODAY",IF(AND(K257&lt;&gt;"",K257&lt;=TODAY()),"FOLLOW UP",IF(AND(E257&lt;&gt;"",E257&lt;=TODAY()+3),"DUE SOON",IF(E257="","NO DUE DATE",""))))))</f>
        <v/>
      </c>
      <c r="H257" s="45"/>
      <c r="I257" s="46"/>
      <c r="J257" s="45"/>
      <c r="K257" s="47"/>
      <c r="L257" s="47"/>
      <c r="M257" s="47"/>
      <c r="N257" s="45"/>
    </row>
    <row r="258" customFormat="false" ht="18" hidden="false" customHeight="true" outlineLevel="0" collapsed="false">
      <c r="A258" s="44" t="str">
        <f aca="false">IF(B258="","",ROW()-4)</f>
        <v/>
      </c>
      <c r="B258" s="45"/>
      <c r="C258" s="46"/>
      <c r="D258" s="46"/>
      <c r="E258" s="47"/>
      <c r="F258" s="44" t="str">
        <f aca="true">IF(OR(B258="",E258="",C258="Done",C258="Cancelled"),"",E258-TODAY())</f>
        <v/>
      </c>
      <c r="G258" s="48" t="str">
        <f aca="true">IF(OR(B258="",C258="Done",C258="Cancelled"),"",IF(AND(E258&lt;&gt;"",E258&lt;TODAY()),"OVERDUE",IF(AND(E258&lt;&gt;"",E258=TODAY()),"DUE TODAY",IF(AND(K258&lt;&gt;"",K258&lt;=TODAY()),"FOLLOW UP",IF(AND(E258&lt;&gt;"",E258&lt;=TODAY()+3),"DUE SOON",IF(E258="","NO DUE DATE",""))))))</f>
        <v/>
      </c>
      <c r="H258" s="45"/>
      <c r="I258" s="46"/>
      <c r="J258" s="45"/>
      <c r="K258" s="47"/>
      <c r="L258" s="47"/>
      <c r="M258" s="47"/>
      <c r="N258" s="45"/>
    </row>
    <row r="259" customFormat="false" ht="18" hidden="false" customHeight="true" outlineLevel="0" collapsed="false">
      <c r="A259" s="44" t="str">
        <f aca="false">IF(B259="","",ROW()-4)</f>
        <v/>
      </c>
      <c r="B259" s="45"/>
      <c r="C259" s="46"/>
      <c r="D259" s="46"/>
      <c r="E259" s="47"/>
      <c r="F259" s="44" t="str">
        <f aca="true">IF(OR(B259="",E259="",C259="Done",C259="Cancelled"),"",E259-TODAY())</f>
        <v/>
      </c>
      <c r="G259" s="48" t="str">
        <f aca="true">IF(OR(B259="",C259="Done",C259="Cancelled"),"",IF(AND(E259&lt;&gt;"",E259&lt;TODAY()),"OVERDUE",IF(AND(E259&lt;&gt;"",E259=TODAY()),"DUE TODAY",IF(AND(K259&lt;&gt;"",K259&lt;=TODAY()),"FOLLOW UP",IF(AND(E259&lt;&gt;"",E259&lt;=TODAY()+3),"DUE SOON",IF(E259="","NO DUE DATE",""))))))</f>
        <v/>
      </c>
      <c r="H259" s="45"/>
      <c r="I259" s="46"/>
      <c r="J259" s="45"/>
      <c r="K259" s="47"/>
      <c r="L259" s="47"/>
      <c r="M259" s="47"/>
      <c r="N259" s="45"/>
    </row>
    <row r="260" customFormat="false" ht="18" hidden="false" customHeight="true" outlineLevel="0" collapsed="false">
      <c r="A260" s="44" t="str">
        <f aca="false">IF(B260="","",ROW()-4)</f>
        <v/>
      </c>
      <c r="B260" s="45"/>
      <c r="C260" s="46"/>
      <c r="D260" s="46"/>
      <c r="E260" s="47"/>
      <c r="F260" s="44" t="str">
        <f aca="true">IF(OR(B260="",E260="",C260="Done",C260="Cancelled"),"",E260-TODAY())</f>
        <v/>
      </c>
      <c r="G260" s="48" t="str">
        <f aca="true">IF(OR(B260="",C260="Done",C260="Cancelled"),"",IF(AND(E260&lt;&gt;"",E260&lt;TODAY()),"OVERDUE",IF(AND(E260&lt;&gt;"",E260=TODAY()),"DUE TODAY",IF(AND(K260&lt;&gt;"",K260&lt;=TODAY()),"FOLLOW UP",IF(AND(E260&lt;&gt;"",E260&lt;=TODAY()+3),"DUE SOON",IF(E260="","NO DUE DATE",""))))))</f>
        <v/>
      </c>
      <c r="H260" s="45"/>
      <c r="I260" s="46"/>
      <c r="J260" s="45"/>
      <c r="K260" s="47"/>
      <c r="L260" s="47"/>
      <c r="M260" s="47"/>
      <c r="N260" s="45"/>
    </row>
    <row r="261" customFormat="false" ht="18" hidden="false" customHeight="true" outlineLevel="0" collapsed="false">
      <c r="A261" s="44" t="str">
        <f aca="false">IF(B261="","",ROW()-4)</f>
        <v/>
      </c>
      <c r="B261" s="45"/>
      <c r="C261" s="46"/>
      <c r="D261" s="46"/>
      <c r="E261" s="47"/>
      <c r="F261" s="44" t="str">
        <f aca="true">IF(OR(B261="",E261="",C261="Done",C261="Cancelled"),"",E261-TODAY())</f>
        <v/>
      </c>
      <c r="G261" s="48" t="str">
        <f aca="true">IF(OR(B261="",C261="Done",C261="Cancelled"),"",IF(AND(E261&lt;&gt;"",E261&lt;TODAY()),"OVERDUE",IF(AND(E261&lt;&gt;"",E261=TODAY()),"DUE TODAY",IF(AND(K261&lt;&gt;"",K261&lt;=TODAY()),"FOLLOW UP",IF(AND(E261&lt;&gt;"",E261&lt;=TODAY()+3),"DUE SOON",IF(E261="","NO DUE DATE",""))))))</f>
        <v/>
      </c>
      <c r="H261" s="45"/>
      <c r="I261" s="46"/>
      <c r="J261" s="45"/>
      <c r="K261" s="47"/>
      <c r="L261" s="47"/>
      <c r="M261" s="47"/>
      <c r="N261" s="45"/>
    </row>
    <row r="262" customFormat="false" ht="18" hidden="false" customHeight="true" outlineLevel="0" collapsed="false">
      <c r="A262" s="44" t="str">
        <f aca="false">IF(B262="","",ROW()-4)</f>
        <v/>
      </c>
      <c r="B262" s="45"/>
      <c r="C262" s="46"/>
      <c r="D262" s="46"/>
      <c r="E262" s="47"/>
      <c r="F262" s="44" t="str">
        <f aca="true">IF(OR(B262="",E262="",C262="Done",C262="Cancelled"),"",E262-TODAY())</f>
        <v/>
      </c>
      <c r="G262" s="48" t="str">
        <f aca="true">IF(OR(B262="",C262="Done",C262="Cancelled"),"",IF(AND(E262&lt;&gt;"",E262&lt;TODAY()),"OVERDUE",IF(AND(E262&lt;&gt;"",E262=TODAY()),"DUE TODAY",IF(AND(K262&lt;&gt;"",K262&lt;=TODAY()),"FOLLOW UP",IF(AND(E262&lt;&gt;"",E262&lt;=TODAY()+3),"DUE SOON",IF(E262="","NO DUE DATE",""))))))</f>
        <v/>
      </c>
      <c r="H262" s="45"/>
      <c r="I262" s="46"/>
      <c r="J262" s="45"/>
      <c r="K262" s="47"/>
      <c r="L262" s="47"/>
      <c r="M262" s="47"/>
      <c r="N262" s="45"/>
    </row>
    <row r="263" customFormat="false" ht="18" hidden="false" customHeight="true" outlineLevel="0" collapsed="false">
      <c r="A263" s="44" t="str">
        <f aca="false">IF(B263="","",ROW()-4)</f>
        <v/>
      </c>
      <c r="B263" s="45"/>
      <c r="C263" s="46"/>
      <c r="D263" s="46"/>
      <c r="E263" s="47"/>
      <c r="F263" s="44" t="str">
        <f aca="true">IF(OR(B263="",E263="",C263="Done",C263="Cancelled"),"",E263-TODAY())</f>
        <v/>
      </c>
      <c r="G263" s="48" t="str">
        <f aca="true">IF(OR(B263="",C263="Done",C263="Cancelled"),"",IF(AND(E263&lt;&gt;"",E263&lt;TODAY()),"OVERDUE",IF(AND(E263&lt;&gt;"",E263=TODAY()),"DUE TODAY",IF(AND(K263&lt;&gt;"",K263&lt;=TODAY()),"FOLLOW UP",IF(AND(E263&lt;&gt;"",E263&lt;=TODAY()+3),"DUE SOON",IF(E263="","NO DUE DATE",""))))))</f>
        <v/>
      </c>
      <c r="H263" s="45"/>
      <c r="I263" s="46"/>
      <c r="J263" s="45"/>
      <c r="K263" s="47"/>
      <c r="L263" s="47"/>
      <c r="M263" s="47"/>
      <c r="N263" s="45"/>
    </row>
    <row r="264" customFormat="false" ht="18" hidden="false" customHeight="true" outlineLevel="0" collapsed="false">
      <c r="A264" s="44" t="str">
        <f aca="false">IF(B264="","",ROW()-4)</f>
        <v/>
      </c>
      <c r="B264" s="45"/>
      <c r="C264" s="46"/>
      <c r="D264" s="46"/>
      <c r="E264" s="47"/>
      <c r="F264" s="44" t="str">
        <f aca="true">IF(OR(B264="",E264="",C264="Done",C264="Cancelled"),"",E264-TODAY())</f>
        <v/>
      </c>
      <c r="G264" s="48" t="str">
        <f aca="true">IF(OR(B264="",C264="Done",C264="Cancelled"),"",IF(AND(E264&lt;&gt;"",E264&lt;TODAY()),"OVERDUE",IF(AND(E264&lt;&gt;"",E264=TODAY()),"DUE TODAY",IF(AND(K264&lt;&gt;"",K264&lt;=TODAY()),"FOLLOW UP",IF(AND(E264&lt;&gt;"",E264&lt;=TODAY()+3),"DUE SOON",IF(E264="","NO DUE DATE",""))))))</f>
        <v/>
      </c>
      <c r="H264" s="45"/>
      <c r="I264" s="46"/>
      <c r="J264" s="45"/>
      <c r="K264" s="47"/>
      <c r="L264" s="47"/>
      <c r="M264" s="47"/>
      <c r="N264" s="45"/>
    </row>
    <row r="265" customFormat="false" ht="18" hidden="false" customHeight="true" outlineLevel="0" collapsed="false">
      <c r="A265" s="44" t="str">
        <f aca="false">IF(B265="","",ROW()-4)</f>
        <v/>
      </c>
      <c r="B265" s="45"/>
      <c r="C265" s="46"/>
      <c r="D265" s="46"/>
      <c r="E265" s="47"/>
      <c r="F265" s="44" t="str">
        <f aca="true">IF(OR(B265="",E265="",C265="Done",C265="Cancelled"),"",E265-TODAY())</f>
        <v/>
      </c>
      <c r="G265" s="48" t="str">
        <f aca="true">IF(OR(B265="",C265="Done",C265="Cancelled"),"",IF(AND(E265&lt;&gt;"",E265&lt;TODAY()),"OVERDUE",IF(AND(E265&lt;&gt;"",E265=TODAY()),"DUE TODAY",IF(AND(K265&lt;&gt;"",K265&lt;=TODAY()),"FOLLOW UP",IF(AND(E265&lt;&gt;"",E265&lt;=TODAY()+3),"DUE SOON",IF(E265="","NO DUE DATE",""))))))</f>
        <v/>
      </c>
      <c r="H265" s="45"/>
      <c r="I265" s="46"/>
      <c r="J265" s="45"/>
      <c r="K265" s="47"/>
      <c r="L265" s="47"/>
      <c r="M265" s="47"/>
      <c r="N265" s="45"/>
    </row>
    <row r="266" customFormat="false" ht="18" hidden="false" customHeight="true" outlineLevel="0" collapsed="false">
      <c r="A266" s="44" t="str">
        <f aca="false">IF(B266="","",ROW()-4)</f>
        <v/>
      </c>
      <c r="B266" s="45"/>
      <c r="C266" s="46"/>
      <c r="D266" s="46"/>
      <c r="E266" s="47"/>
      <c r="F266" s="44" t="str">
        <f aca="true">IF(OR(B266="",E266="",C266="Done",C266="Cancelled"),"",E266-TODAY())</f>
        <v/>
      </c>
      <c r="G266" s="48" t="str">
        <f aca="true">IF(OR(B266="",C266="Done",C266="Cancelled"),"",IF(AND(E266&lt;&gt;"",E266&lt;TODAY()),"OVERDUE",IF(AND(E266&lt;&gt;"",E266=TODAY()),"DUE TODAY",IF(AND(K266&lt;&gt;"",K266&lt;=TODAY()),"FOLLOW UP",IF(AND(E266&lt;&gt;"",E266&lt;=TODAY()+3),"DUE SOON",IF(E266="","NO DUE DATE",""))))))</f>
        <v/>
      </c>
      <c r="H266" s="45"/>
      <c r="I266" s="46"/>
      <c r="J266" s="45"/>
      <c r="K266" s="47"/>
      <c r="L266" s="47"/>
      <c r="M266" s="47"/>
      <c r="N266" s="45"/>
    </row>
    <row r="267" customFormat="false" ht="18" hidden="false" customHeight="true" outlineLevel="0" collapsed="false">
      <c r="A267" s="44" t="str">
        <f aca="false">IF(B267="","",ROW()-4)</f>
        <v/>
      </c>
      <c r="B267" s="45"/>
      <c r="C267" s="46"/>
      <c r="D267" s="46"/>
      <c r="E267" s="47"/>
      <c r="F267" s="44" t="str">
        <f aca="true">IF(OR(B267="",E267="",C267="Done",C267="Cancelled"),"",E267-TODAY())</f>
        <v/>
      </c>
      <c r="G267" s="48" t="str">
        <f aca="true">IF(OR(B267="",C267="Done",C267="Cancelled"),"",IF(AND(E267&lt;&gt;"",E267&lt;TODAY()),"OVERDUE",IF(AND(E267&lt;&gt;"",E267=TODAY()),"DUE TODAY",IF(AND(K267&lt;&gt;"",K267&lt;=TODAY()),"FOLLOW UP",IF(AND(E267&lt;&gt;"",E267&lt;=TODAY()+3),"DUE SOON",IF(E267="","NO DUE DATE",""))))))</f>
        <v/>
      </c>
      <c r="H267" s="45"/>
      <c r="I267" s="46"/>
      <c r="J267" s="45"/>
      <c r="K267" s="47"/>
      <c r="L267" s="47"/>
      <c r="M267" s="47"/>
      <c r="N267" s="45"/>
    </row>
    <row r="268" customFormat="false" ht="18" hidden="false" customHeight="true" outlineLevel="0" collapsed="false">
      <c r="A268" s="44" t="str">
        <f aca="false">IF(B268="","",ROW()-4)</f>
        <v/>
      </c>
      <c r="B268" s="45"/>
      <c r="C268" s="46"/>
      <c r="D268" s="46"/>
      <c r="E268" s="47"/>
      <c r="F268" s="44" t="str">
        <f aca="true">IF(OR(B268="",E268="",C268="Done",C268="Cancelled"),"",E268-TODAY())</f>
        <v/>
      </c>
      <c r="G268" s="48" t="str">
        <f aca="true">IF(OR(B268="",C268="Done",C268="Cancelled"),"",IF(AND(E268&lt;&gt;"",E268&lt;TODAY()),"OVERDUE",IF(AND(E268&lt;&gt;"",E268=TODAY()),"DUE TODAY",IF(AND(K268&lt;&gt;"",K268&lt;=TODAY()),"FOLLOW UP",IF(AND(E268&lt;&gt;"",E268&lt;=TODAY()+3),"DUE SOON",IF(E268="","NO DUE DATE",""))))))</f>
        <v/>
      </c>
      <c r="H268" s="45"/>
      <c r="I268" s="46"/>
      <c r="J268" s="45"/>
      <c r="K268" s="47"/>
      <c r="L268" s="47"/>
      <c r="M268" s="47"/>
      <c r="N268" s="45"/>
    </row>
    <row r="269" customFormat="false" ht="18" hidden="false" customHeight="true" outlineLevel="0" collapsed="false">
      <c r="A269" s="44" t="str">
        <f aca="false">IF(B269="","",ROW()-4)</f>
        <v/>
      </c>
      <c r="B269" s="45"/>
      <c r="C269" s="46"/>
      <c r="D269" s="46"/>
      <c r="E269" s="47"/>
      <c r="F269" s="44" t="str">
        <f aca="true">IF(OR(B269="",E269="",C269="Done",C269="Cancelled"),"",E269-TODAY())</f>
        <v/>
      </c>
      <c r="G269" s="48" t="str">
        <f aca="true">IF(OR(B269="",C269="Done",C269="Cancelled"),"",IF(AND(E269&lt;&gt;"",E269&lt;TODAY()),"OVERDUE",IF(AND(E269&lt;&gt;"",E269=TODAY()),"DUE TODAY",IF(AND(K269&lt;&gt;"",K269&lt;=TODAY()),"FOLLOW UP",IF(AND(E269&lt;&gt;"",E269&lt;=TODAY()+3),"DUE SOON",IF(E269="","NO DUE DATE",""))))))</f>
        <v/>
      </c>
      <c r="H269" s="45"/>
      <c r="I269" s="46"/>
      <c r="J269" s="45"/>
      <c r="K269" s="47"/>
      <c r="L269" s="47"/>
      <c r="M269" s="47"/>
      <c r="N269" s="45"/>
    </row>
    <row r="270" customFormat="false" ht="18" hidden="false" customHeight="true" outlineLevel="0" collapsed="false">
      <c r="A270" s="44" t="str">
        <f aca="false">IF(B270="","",ROW()-4)</f>
        <v/>
      </c>
      <c r="B270" s="45"/>
      <c r="C270" s="46"/>
      <c r="D270" s="46"/>
      <c r="E270" s="47"/>
      <c r="F270" s="44" t="str">
        <f aca="true">IF(OR(B270="",E270="",C270="Done",C270="Cancelled"),"",E270-TODAY())</f>
        <v/>
      </c>
      <c r="G270" s="48" t="str">
        <f aca="true">IF(OR(B270="",C270="Done",C270="Cancelled"),"",IF(AND(E270&lt;&gt;"",E270&lt;TODAY()),"OVERDUE",IF(AND(E270&lt;&gt;"",E270=TODAY()),"DUE TODAY",IF(AND(K270&lt;&gt;"",K270&lt;=TODAY()),"FOLLOW UP",IF(AND(E270&lt;&gt;"",E270&lt;=TODAY()+3),"DUE SOON",IF(E270="","NO DUE DATE",""))))))</f>
        <v/>
      </c>
      <c r="H270" s="45"/>
      <c r="I270" s="46"/>
      <c r="J270" s="45"/>
      <c r="K270" s="47"/>
      <c r="L270" s="47"/>
      <c r="M270" s="47"/>
      <c r="N270" s="45"/>
    </row>
    <row r="271" customFormat="false" ht="18" hidden="false" customHeight="true" outlineLevel="0" collapsed="false">
      <c r="A271" s="44" t="str">
        <f aca="false">IF(B271="","",ROW()-4)</f>
        <v/>
      </c>
      <c r="B271" s="45"/>
      <c r="C271" s="46"/>
      <c r="D271" s="46"/>
      <c r="E271" s="47"/>
      <c r="F271" s="44" t="str">
        <f aca="true">IF(OR(B271="",E271="",C271="Done",C271="Cancelled"),"",E271-TODAY())</f>
        <v/>
      </c>
      <c r="G271" s="48" t="str">
        <f aca="true">IF(OR(B271="",C271="Done",C271="Cancelled"),"",IF(AND(E271&lt;&gt;"",E271&lt;TODAY()),"OVERDUE",IF(AND(E271&lt;&gt;"",E271=TODAY()),"DUE TODAY",IF(AND(K271&lt;&gt;"",K271&lt;=TODAY()),"FOLLOW UP",IF(AND(E271&lt;&gt;"",E271&lt;=TODAY()+3),"DUE SOON",IF(E271="","NO DUE DATE",""))))))</f>
        <v/>
      </c>
      <c r="H271" s="45"/>
      <c r="I271" s="46"/>
      <c r="J271" s="45"/>
      <c r="K271" s="47"/>
      <c r="L271" s="47"/>
      <c r="M271" s="47"/>
      <c r="N271" s="45"/>
    </row>
    <row r="272" customFormat="false" ht="18" hidden="false" customHeight="true" outlineLevel="0" collapsed="false">
      <c r="A272" s="44" t="str">
        <f aca="false">IF(B272="","",ROW()-4)</f>
        <v/>
      </c>
      <c r="B272" s="45"/>
      <c r="C272" s="46"/>
      <c r="D272" s="46"/>
      <c r="E272" s="47"/>
      <c r="F272" s="44" t="str">
        <f aca="true">IF(OR(B272="",E272="",C272="Done",C272="Cancelled"),"",E272-TODAY())</f>
        <v/>
      </c>
      <c r="G272" s="48" t="str">
        <f aca="true">IF(OR(B272="",C272="Done",C272="Cancelled"),"",IF(AND(E272&lt;&gt;"",E272&lt;TODAY()),"OVERDUE",IF(AND(E272&lt;&gt;"",E272=TODAY()),"DUE TODAY",IF(AND(K272&lt;&gt;"",K272&lt;=TODAY()),"FOLLOW UP",IF(AND(E272&lt;&gt;"",E272&lt;=TODAY()+3),"DUE SOON",IF(E272="","NO DUE DATE",""))))))</f>
        <v/>
      </c>
      <c r="H272" s="45"/>
      <c r="I272" s="46"/>
      <c r="J272" s="45"/>
      <c r="K272" s="47"/>
      <c r="L272" s="47"/>
      <c r="M272" s="47"/>
      <c r="N272" s="45"/>
    </row>
    <row r="273" customFormat="false" ht="18" hidden="false" customHeight="true" outlineLevel="0" collapsed="false">
      <c r="A273" s="44" t="str">
        <f aca="false">IF(B273="","",ROW()-4)</f>
        <v/>
      </c>
      <c r="B273" s="45"/>
      <c r="C273" s="46"/>
      <c r="D273" s="46"/>
      <c r="E273" s="47"/>
      <c r="F273" s="44" t="str">
        <f aca="true">IF(OR(B273="",E273="",C273="Done",C273="Cancelled"),"",E273-TODAY())</f>
        <v/>
      </c>
      <c r="G273" s="48" t="str">
        <f aca="true">IF(OR(B273="",C273="Done",C273="Cancelled"),"",IF(AND(E273&lt;&gt;"",E273&lt;TODAY()),"OVERDUE",IF(AND(E273&lt;&gt;"",E273=TODAY()),"DUE TODAY",IF(AND(K273&lt;&gt;"",K273&lt;=TODAY()),"FOLLOW UP",IF(AND(E273&lt;&gt;"",E273&lt;=TODAY()+3),"DUE SOON",IF(E273="","NO DUE DATE",""))))))</f>
        <v/>
      </c>
      <c r="H273" s="45"/>
      <c r="I273" s="46"/>
      <c r="J273" s="45"/>
      <c r="K273" s="47"/>
      <c r="L273" s="47"/>
      <c r="M273" s="47"/>
      <c r="N273" s="45"/>
    </row>
    <row r="274" customFormat="false" ht="18" hidden="false" customHeight="true" outlineLevel="0" collapsed="false">
      <c r="A274" s="44" t="str">
        <f aca="false">IF(B274="","",ROW()-4)</f>
        <v/>
      </c>
      <c r="B274" s="45"/>
      <c r="C274" s="46"/>
      <c r="D274" s="46"/>
      <c r="E274" s="47"/>
      <c r="F274" s="44" t="str">
        <f aca="true">IF(OR(B274="",E274="",C274="Done",C274="Cancelled"),"",E274-TODAY())</f>
        <v/>
      </c>
      <c r="G274" s="48" t="str">
        <f aca="true">IF(OR(B274="",C274="Done",C274="Cancelled"),"",IF(AND(E274&lt;&gt;"",E274&lt;TODAY()),"OVERDUE",IF(AND(E274&lt;&gt;"",E274=TODAY()),"DUE TODAY",IF(AND(K274&lt;&gt;"",K274&lt;=TODAY()),"FOLLOW UP",IF(AND(E274&lt;&gt;"",E274&lt;=TODAY()+3),"DUE SOON",IF(E274="","NO DUE DATE",""))))))</f>
        <v/>
      </c>
      <c r="H274" s="45"/>
      <c r="I274" s="46"/>
      <c r="J274" s="45"/>
      <c r="K274" s="47"/>
      <c r="L274" s="47"/>
      <c r="M274" s="47"/>
      <c r="N274" s="45"/>
    </row>
    <row r="275" customFormat="false" ht="18" hidden="false" customHeight="true" outlineLevel="0" collapsed="false">
      <c r="A275" s="44" t="str">
        <f aca="false">IF(B275="","",ROW()-4)</f>
        <v/>
      </c>
      <c r="B275" s="45"/>
      <c r="C275" s="46"/>
      <c r="D275" s="46"/>
      <c r="E275" s="47"/>
      <c r="F275" s="44" t="str">
        <f aca="true">IF(OR(B275="",E275="",C275="Done",C275="Cancelled"),"",E275-TODAY())</f>
        <v/>
      </c>
      <c r="G275" s="48" t="str">
        <f aca="true">IF(OR(B275="",C275="Done",C275="Cancelled"),"",IF(AND(E275&lt;&gt;"",E275&lt;TODAY()),"OVERDUE",IF(AND(E275&lt;&gt;"",E275=TODAY()),"DUE TODAY",IF(AND(K275&lt;&gt;"",K275&lt;=TODAY()),"FOLLOW UP",IF(AND(E275&lt;&gt;"",E275&lt;=TODAY()+3),"DUE SOON",IF(E275="","NO DUE DATE",""))))))</f>
        <v/>
      </c>
      <c r="H275" s="45"/>
      <c r="I275" s="46"/>
      <c r="J275" s="45"/>
      <c r="K275" s="47"/>
      <c r="L275" s="47"/>
      <c r="M275" s="47"/>
      <c r="N275" s="45"/>
    </row>
    <row r="276" customFormat="false" ht="18" hidden="false" customHeight="true" outlineLevel="0" collapsed="false">
      <c r="A276" s="44" t="str">
        <f aca="false">IF(B276="","",ROW()-4)</f>
        <v/>
      </c>
      <c r="B276" s="45"/>
      <c r="C276" s="46"/>
      <c r="D276" s="46"/>
      <c r="E276" s="47"/>
      <c r="F276" s="44" t="str">
        <f aca="true">IF(OR(B276="",E276="",C276="Done",C276="Cancelled"),"",E276-TODAY())</f>
        <v/>
      </c>
      <c r="G276" s="48" t="str">
        <f aca="true">IF(OR(B276="",C276="Done",C276="Cancelled"),"",IF(AND(E276&lt;&gt;"",E276&lt;TODAY()),"OVERDUE",IF(AND(E276&lt;&gt;"",E276=TODAY()),"DUE TODAY",IF(AND(K276&lt;&gt;"",K276&lt;=TODAY()),"FOLLOW UP",IF(AND(E276&lt;&gt;"",E276&lt;=TODAY()+3),"DUE SOON",IF(E276="","NO DUE DATE",""))))))</f>
        <v/>
      </c>
      <c r="H276" s="45"/>
      <c r="I276" s="46"/>
      <c r="J276" s="45"/>
      <c r="K276" s="47"/>
      <c r="L276" s="47"/>
      <c r="M276" s="47"/>
      <c r="N276" s="45"/>
    </row>
    <row r="277" customFormat="false" ht="18" hidden="false" customHeight="true" outlineLevel="0" collapsed="false">
      <c r="A277" s="44" t="str">
        <f aca="false">IF(B277="","",ROW()-4)</f>
        <v/>
      </c>
      <c r="B277" s="45"/>
      <c r="C277" s="46"/>
      <c r="D277" s="46"/>
      <c r="E277" s="47"/>
      <c r="F277" s="44" t="str">
        <f aca="true">IF(OR(B277="",E277="",C277="Done",C277="Cancelled"),"",E277-TODAY())</f>
        <v/>
      </c>
      <c r="G277" s="48" t="str">
        <f aca="true">IF(OR(B277="",C277="Done",C277="Cancelled"),"",IF(AND(E277&lt;&gt;"",E277&lt;TODAY()),"OVERDUE",IF(AND(E277&lt;&gt;"",E277=TODAY()),"DUE TODAY",IF(AND(K277&lt;&gt;"",K277&lt;=TODAY()),"FOLLOW UP",IF(AND(E277&lt;&gt;"",E277&lt;=TODAY()+3),"DUE SOON",IF(E277="","NO DUE DATE",""))))))</f>
        <v/>
      </c>
      <c r="H277" s="45"/>
      <c r="I277" s="46"/>
      <c r="J277" s="45"/>
      <c r="K277" s="47"/>
      <c r="L277" s="47"/>
      <c r="M277" s="47"/>
      <c r="N277" s="45"/>
    </row>
    <row r="278" customFormat="false" ht="18" hidden="false" customHeight="true" outlineLevel="0" collapsed="false">
      <c r="A278" s="44" t="str">
        <f aca="false">IF(B278="","",ROW()-4)</f>
        <v/>
      </c>
      <c r="B278" s="45"/>
      <c r="C278" s="46"/>
      <c r="D278" s="46"/>
      <c r="E278" s="47"/>
      <c r="F278" s="44" t="str">
        <f aca="true">IF(OR(B278="",E278="",C278="Done",C278="Cancelled"),"",E278-TODAY())</f>
        <v/>
      </c>
      <c r="G278" s="48" t="str">
        <f aca="true">IF(OR(B278="",C278="Done",C278="Cancelled"),"",IF(AND(E278&lt;&gt;"",E278&lt;TODAY()),"OVERDUE",IF(AND(E278&lt;&gt;"",E278=TODAY()),"DUE TODAY",IF(AND(K278&lt;&gt;"",K278&lt;=TODAY()),"FOLLOW UP",IF(AND(E278&lt;&gt;"",E278&lt;=TODAY()+3),"DUE SOON",IF(E278="","NO DUE DATE",""))))))</f>
        <v/>
      </c>
      <c r="H278" s="45"/>
      <c r="I278" s="46"/>
      <c r="J278" s="45"/>
      <c r="K278" s="47"/>
      <c r="L278" s="47"/>
      <c r="M278" s="47"/>
      <c r="N278" s="45"/>
    </row>
    <row r="279" customFormat="false" ht="18" hidden="false" customHeight="true" outlineLevel="0" collapsed="false">
      <c r="A279" s="44" t="str">
        <f aca="false">IF(B279="","",ROW()-4)</f>
        <v/>
      </c>
      <c r="B279" s="45"/>
      <c r="C279" s="46"/>
      <c r="D279" s="46"/>
      <c r="E279" s="47"/>
      <c r="F279" s="44" t="str">
        <f aca="true">IF(OR(B279="",E279="",C279="Done",C279="Cancelled"),"",E279-TODAY())</f>
        <v/>
      </c>
      <c r="G279" s="48" t="str">
        <f aca="true">IF(OR(B279="",C279="Done",C279="Cancelled"),"",IF(AND(E279&lt;&gt;"",E279&lt;TODAY()),"OVERDUE",IF(AND(E279&lt;&gt;"",E279=TODAY()),"DUE TODAY",IF(AND(K279&lt;&gt;"",K279&lt;=TODAY()),"FOLLOW UP",IF(AND(E279&lt;&gt;"",E279&lt;=TODAY()+3),"DUE SOON",IF(E279="","NO DUE DATE",""))))))</f>
        <v/>
      </c>
      <c r="H279" s="45"/>
      <c r="I279" s="46"/>
      <c r="J279" s="45"/>
      <c r="K279" s="47"/>
      <c r="L279" s="47"/>
      <c r="M279" s="47"/>
      <c r="N279" s="45"/>
    </row>
    <row r="280" customFormat="false" ht="18" hidden="false" customHeight="true" outlineLevel="0" collapsed="false">
      <c r="A280" s="44" t="str">
        <f aca="false">IF(B280="","",ROW()-4)</f>
        <v/>
      </c>
      <c r="B280" s="45"/>
      <c r="C280" s="46"/>
      <c r="D280" s="46"/>
      <c r="E280" s="47"/>
      <c r="F280" s="44" t="str">
        <f aca="true">IF(OR(B280="",E280="",C280="Done",C280="Cancelled"),"",E280-TODAY())</f>
        <v/>
      </c>
      <c r="G280" s="48" t="str">
        <f aca="true">IF(OR(B280="",C280="Done",C280="Cancelled"),"",IF(AND(E280&lt;&gt;"",E280&lt;TODAY()),"OVERDUE",IF(AND(E280&lt;&gt;"",E280=TODAY()),"DUE TODAY",IF(AND(K280&lt;&gt;"",K280&lt;=TODAY()),"FOLLOW UP",IF(AND(E280&lt;&gt;"",E280&lt;=TODAY()+3),"DUE SOON",IF(E280="","NO DUE DATE",""))))))</f>
        <v/>
      </c>
      <c r="H280" s="45"/>
      <c r="I280" s="46"/>
      <c r="J280" s="45"/>
      <c r="K280" s="47"/>
      <c r="L280" s="47"/>
      <c r="M280" s="47"/>
      <c r="N280" s="45"/>
    </row>
    <row r="281" customFormat="false" ht="18" hidden="false" customHeight="true" outlineLevel="0" collapsed="false">
      <c r="A281" s="44" t="str">
        <f aca="false">IF(B281="","",ROW()-4)</f>
        <v/>
      </c>
      <c r="B281" s="45"/>
      <c r="C281" s="46"/>
      <c r="D281" s="46"/>
      <c r="E281" s="47"/>
      <c r="F281" s="44" t="str">
        <f aca="true">IF(OR(B281="",E281="",C281="Done",C281="Cancelled"),"",E281-TODAY())</f>
        <v/>
      </c>
      <c r="G281" s="48" t="str">
        <f aca="true">IF(OR(B281="",C281="Done",C281="Cancelled"),"",IF(AND(E281&lt;&gt;"",E281&lt;TODAY()),"OVERDUE",IF(AND(E281&lt;&gt;"",E281=TODAY()),"DUE TODAY",IF(AND(K281&lt;&gt;"",K281&lt;=TODAY()),"FOLLOW UP",IF(AND(E281&lt;&gt;"",E281&lt;=TODAY()+3),"DUE SOON",IF(E281="","NO DUE DATE",""))))))</f>
        <v/>
      </c>
      <c r="H281" s="45"/>
      <c r="I281" s="46"/>
      <c r="J281" s="45"/>
      <c r="K281" s="47"/>
      <c r="L281" s="47"/>
      <c r="M281" s="47"/>
      <c r="N281" s="45"/>
    </row>
    <row r="282" customFormat="false" ht="18" hidden="false" customHeight="true" outlineLevel="0" collapsed="false">
      <c r="A282" s="44" t="str">
        <f aca="false">IF(B282="","",ROW()-4)</f>
        <v/>
      </c>
      <c r="B282" s="45"/>
      <c r="C282" s="46"/>
      <c r="D282" s="46"/>
      <c r="E282" s="47"/>
      <c r="F282" s="44" t="str">
        <f aca="true">IF(OR(B282="",E282="",C282="Done",C282="Cancelled"),"",E282-TODAY())</f>
        <v/>
      </c>
      <c r="G282" s="48" t="str">
        <f aca="true">IF(OR(B282="",C282="Done",C282="Cancelled"),"",IF(AND(E282&lt;&gt;"",E282&lt;TODAY()),"OVERDUE",IF(AND(E282&lt;&gt;"",E282=TODAY()),"DUE TODAY",IF(AND(K282&lt;&gt;"",K282&lt;=TODAY()),"FOLLOW UP",IF(AND(E282&lt;&gt;"",E282&lt;=TODAY()+3),"DUE SOON",IF(E282="","NO DUE DATE",""))))))</f>
        <v/>
      </c>
      <c r="H282" s="45"/>
      <c r="I282" s="46"/>
      <c r="J282" s="45"/>
      <c r="K282" s="47"/>
      <c r="L282" s="47"/>
      <c r="M282" s="47"/>
      <c r="N282" s="45"/>
    </row>
    <row r="283" customFormat="false" ht="18" hidden="false" customHeight="true" outlineLevel="0" collapsed="false">
      <c r="A283" s="44" t="str">
        <f aca="false">IF(B283="","",ROW()-4)</f>
        <v/>
      </c>
      <c r="B283" s="45"/>
      <c r="C283" s="46"/>
      <c r="D283" s="46"/>
      <c r="E283" s="47"/>
      <c r="F283" s="44" t="str">
        <f aca="true">IF(OR(B283="",E283="",C283="Done",C283="Cancelled"),"",E283-TODAY())</f>
        <v/>
      </c>
      <c r="G283" s="48" t="str">
        <f aca="true">IF(OR(B283="",C283="Done",C283="Cancelled"),"",IF(AND(E283&lt;&gt;"",E283&lt;TODAY()),"OVERDUE",IF(AND(E283&lt;&gt;"",E283=TODAY()),"DUE TODAY",IF(AND(K283&lt;&gt;"",K283&lt;=TODAY()),"FOLLOW UP",IF(AND(E283&lt;&gt;"",E283&lt;=TODAY()+3),"DUE SOON",IF(E283="","NO DUE DATE",""))))))</f>
        <v/>
      </c>
      <c r="H283" s="45"/>
      <c r="I283" s="46"/>
      <c r="J283" s="45"/>
      <c r="K283" s="47"/>
      <c r="L283" s="47"/>
      <c r="M283" s="47"/>
      <c r="N283" s="45"/>
    </row>
    <row r="284" customFormat="false" ht="18" hidden="false" customHeight="true" outlineLevel="0" collapsed="false">
      <c r="A284" s="44" t="str">
        <f aca="false">IF(B284="","",ROW()-4)</f>
        <v/>
      </c>
      <c r="B284" s="45"/>
      <c r="C284" s="46"/>
      <c r="D284" s="46"/>
      <c r="E284" s="47"/>
      <c r="F284" s="44" t="str">
        <f aca="true">IF(OR(B284="",E284="",C284="Done",C284="Cancelled"),"",E284-TODAY())</f>
        <v/>
      </c>
      <c r="G284" s="48" t="str">
        <f aca="true">IF(OR(B284="",C284="Done",C284="Cancelled"),"",IF(AND(E284&lt;&gt;"",E284&lt;TODAY()),"OVERDUE",IF(AND(E284&lt;&gt;"",E284=TODAY()),"DUE TODAY",IF(AND(K284&lt;&gt;"",K284&lt;=TODAY()),"FOLLOW UP",IF(AND(E284&lt;&gt;"",E284&lt;=TODAY()+3),"DUE SOON",IF(E284="","NO DUE DATE",""))))))</f>
        <v/>
      </c>
      <c r="H284" s="45"/>
      <c r="I284" s="46"/>
      <c r="J284" s="45"/>
      <c r="K284" s="47"/>
      <c r="L284" s="47"/>
      <c r="M284" s="47"/>
      <c r="N284" s="45"/>
    </row>
    <row r="285" customFormat="false" ht="18" hidden="false" customHeight="true" outlineLevel="0" collapsed="false">
      <c r="A285" s="44" t="str">
        <f aca="false">IF(B285="","",ROW()-4)</f>
        <v/>
      </c>
      <c r="B285" s="45"/>
      <c r="C285" s="46"/>
      <c r="D285" s="46"/>
      <c r="E285" s="47"/>
      <c r="F285" s="44" t="str">
        <f aca="true">IF(OR(B285="",E285="",C285="Done",C285="Cancelled"),"",E285-TODAY())</f>
        <v/>
      </c>
      <c r="G285" s="48" t="str">
        <f aca="true">IF(OR(B285="",C285="Done",C285="Cancelled"),"",IF(AND(E285&lt;&gt;"",E285&lt;TODAY()),"OVERDUE",IF(AND(E285&lt;&gt;"",E285=TODAY()),"DUE TODAY",IF(AND(K285&lt;&gt;"",K285&lt;=TODAY()),"FOLLOW UP",IF(AND(E285&lt;&gt;"",E285&lt;=TODAY()+3),"DUE SOON",IF(E285="","NO DUE DATE",""))))))</f>
        <v/>
      </c>
      <c r="H285" s="45"/>
      <c r="I285" s="46"/>
      <c r="J285" s="45"/>
      <c r="K285" s="47"/>
      <c r="L285" s="47"/>
      <c r="M285" s="47"/>
      <c r="N285" s="45"/>
    </row>
    <row r="286" customFormat="false" ht="18" hidden="false" customHeight="true" outlineLevel="0" collapsed="false">
      <c r="A286" s="44" t="str">
        <f aca="false">IF(B286="","",ROW()-4)</f>
        <v/>
      </c>
      <c r="B286" s="45"/>
      <c r="C286" s="46"/>
      <c r="D286" s="46"/>
      <c r="E286" s="47"/>
      <c r="F286" s="44" t="str">
        <f aca="true">IF(OR(B286="",E286="",C286="Done",C286="Cancelled"),"",E286-TODAY())</f>
        <v/>
      </c>
      <c r="G286" s="48" t="str">
        <f aca="true">IF(OR(B286="",C286="Done",C286="Cancelled"),"",IF(AND(E286&lt;&gt;"",E286&lt;TODAY()),"OVERDUE",IF(AND(E286&lt;&gt;"",E286=TODAY()),"DUE TODAY",IF(AND(K286&lt;&gt;"",K286&lt;=TODAY()),"FOLLOW UP",IF(AND(E286&lt;&gt;"",E286&lt;=TODAY()+3),"DUE SOON",IF(E286="","NO DUE DATE",""))))))</f>
        <v/>
      </c>
      <c r="H286" s="45"/>
      <c r="I286" s="46"/>
      <c r="J286" s="45"/>
      <c r="K286" s="47"/>
      <c r="L286" s="47"/>
      <c r="M286" s="47"/>
      <c r="N286" s="45"/>
    </row>
    <row r="287" customFormat="false" ht="18" hidden="false" customHeight="true" outlineLevel="0" collapsed="false">
      <c r="A287" s="44" t="str">
        <f aca="false">IF(B287="","",ROW()-4)</f>
        <v/>
      </c>
      <c r="B287" s="45"/>
      <c r="C287" s="46"/>
      <c r="D287" s="46"/>
      <c r="E287" s="47"/>
      <c r="F287" s="44" t="str">
        <f aca="true">IF(OR(B287="",E287="",C287="Done",C287="Cancelled"),"",E287-TODAY())</f>
        <v/>
      </c>
      <c r="G287" s="48" t="str">
        <f aca="true">IF(OR(B287="",C287="Done",C287="Cancelled"),"",IF(AND(E287&lt;&gt;"",E287&lt;TODAY()),"OVERDUE",IF(AND(E287&lt;&gt;"",E287=TODAY()),"DUE TODAY",IF(AND(K287&lt;&gt;"",K287&lt;=TODAY()),"FOLLOW UP",IF(AND(E287&lt;&gt;"",E287&lt;=TODAY()+3),"DUE SOON",IF(E287="","NO DUE DATE",""))))))</f>
        <v/>
      </c>
      <c r="H287" s="45"/>
      <c r="I287" s="46"/>
      <c r="J287" s="45"/>
      <c r="K287" s="47"/>
      <c r="L287" s="47"/>
      <c r="M287" s="47"/>
      <c r="N287" s="45"/>
    </row>
    <row r="288" customFormat="false" ht="18" hidden="false" customHeight="true" outlineLevel="0" collapsed="false">
      <c r="A288" s="44" t="str">
        <f aca="false">IF(B288="","",ROW()-4)</f>
        <v/>
      </c>
      <c r="B288" s="45"/>
      <c r="C288" s="46"/>
      <c r="D288" s="46"/>
      <c r="E288" s="47"/>
      <c r="F288" s="44" t="str">
        <f aca="true">IF(OR(B288="",E288="",C288="Done",C288="Cancelled"),"",E288-TODAY())</f>
        <v/>
      </c>
      <c r="G288" s="48" t="str">
        <f aca="true">IF(OR(B288="",C288="Done",C288="Cancelled"),"",IF(AND(E288&lt;&gt;"",E288&lt;TODAY()),"OVERDUE",IF(AND(E288&lt;&gt;"",E288=TODAY()),"DUE TODAY",IF(AND(K288&lt;&gt;"",K288&lt;=TODAY()),"FOLLOW UP",IF(AND(E288&lt;&gt;"",E288&lt;=TODAY()+3),"DUE SOON",IF(E288="","NO DUE DATE",""))))))</f>
        <v/>
      </c>
      <c r="H288" s="45"/>
      <c r="I288" s="46"/>
      <c r="J288" s="45"/>
      <c r="K288" s="47"/>
      <c r="L288" s="47"/>
      <c r="M288" s="47"/>
      <c r="N288" s="45"/>
    </row>
    <row r="289" customFormat="false" ht="18" hidden="false" customHeight="true" outlineLevel="0" collapsed="false">
      <c r="A289" s="44" t="str">
        <f aca="false">IF(B289="","",ROW()-4)</f>
        <v/>
      </c>
      <c r="B289" s="45"/>
      <c r="C289" s="46"/>
      <c r="D289" s="46"/>
      <c r="E289" s="47"/>
      <c r="F289" s="44" t="str">
        <f aca="true">IF(OR(B289="",E289="",C289="Done",C289="Cancelled"),"",E289-TODAY())</f>
        <v/>
      </c>
      <c r="G289" s="48" t="str">
        <f aca="true">IF(OR(B289="",C289="Done",C289="Cancelled"),"",IF(AND(E289&lt;&gt;"",E289&lt;TODAY()),"OVERDUE",IF(AND(E289&lt;&gt;"",E289=TODAY()),"DUE TODAY",IF(AND(K289&lt;&gt;"",K289&lt;=TODAY()),"FOLLOW UP",IF(AND(E289&lt;&gt;"",E289&lt;=TODAY()+3),"DUE SOON",IF(E289="","NO DUE DATE",""))))))</f>
        <v/>
      </c>
      <c r="H289" s="45"/>
      <c r="I289" s="46"/>
      <c r="J289" s="45"/>
      <c r="K289" s="47"/>
      <c r="L289" s="47"/>
      <c r="M289" s="47"/>
      <c r="N289" s="45"/>
    </row>
    <row r="290" customFormat="false" ht="18" hidden="false" customHeight="true" outlineLevel="0" collapsed="false">
      <c r="A290" s="44" t="str">
        <f aca="false">IF(B290="","",ROW()-4)</f>
        <v/>
      </c>
      <c r="B290" s="45"/>
      <c r="C290" s="46"/>
      <c r="D290" s="46"/>
      <c r="E290" s="47"/>
      <c r="F290" s="44" t="str">
        <f aca="true">IF(OR(B290="",E290="",C290="Done",C290="Cancelled"),"",E290-TODAY())</f>
        <v/>
      </c>
      <c r="G290" s="48" t="str">
        <f aca="true">IF(OR(B290="",C290="Done",C290="Cancelled"),"",IF(AND(E290&lt;&gt;"",E290&lt;TODAY()),"OVERDUE",IF(AND(E290&lt;&gt;"",E290=TODAY()),"DUE TODAY",IF(AND(K290&lt;&gt;"",K290&lt;=TODAY()),"FOLLOW UP",IF(AND(E290&lt;&gt;"",E290&lt;=TODAY()+3),"DUE SOON",IF(E290="","NO DUE DATE",""))))))</f>
        <v/>
      </c>
      <c r="H290" s="45"/>
      <c r="I290" s="46"/>
      <c r="J290" s="45"/>
      <c r="K290" s="47"/>
      <c r="L290" s="47"/>
      <c r="M290" s="47"/>
      <c r="N290" s="45"/>
    </row>
    <row r="291" customFormat="false" ht="18" hidden="false" customHeight="true" outlineLevel="0" collapsed="false">
      <c r="A291" s="44" t="str">
        <f aca="false">IF(B291="","",ROW()-4)</f>
        <v/>
      </c>
      <c r="B291" s="45"/>
      <c r="C291" s="46"/>
      <c r="D291" s="46"/>
      <c r="E291" s="47"/>
      <c r="F291" s="44" t="str">
        <f aca="true">IF(OR(B291="",E291="",C291="Done",C291="Cancelled"),"",E291-TODAY())</f>
        <v/>
      </c>
      <c r="G291" s="48" t="str">
        <f aca="true">IF(OR(B291="",C291="Done",C291="Cancelled"),"",IF(AND(E291&lt;&gt;"",E291&lt;TODAY()),"OVERDUE",IF(AND(E291&lt;&gt;"",E291=TODAY()),"DUE TODAY",IF(AND(K291&lt;&gt;"",K291&lt;=TODAY()),"FOLLOW UP",IF(AND(E291&lt;&gt;"",E291&lt;=TODAY()+3),"DUE SOON",IF(E291="","NO DUE DATE",""))))))</f>
        <v/>
      </c>
      <c r="H291" s="45"/>
      <c r="I291" s="46"/>
      <c r="J291" s="45"/>
      <c r="K291" s="47"/>
      <c r="L291" s="47"/>
      <c r="M291" s="47"/>
      <c r="N291" s="45"/>
    </row>
    <row r="292" customFormat="false" ht="18" hidden="false" customHeight="true" outlineLevel="0" collapsed="false">
      <c r="A292" s="44" t="str">
        <f aca="false">IF(B292="","",ROW()-4)</f>
        <v/>
      </c>
      <c r="B292" s="45"/>
      <c r="C292" s="46"/>
      <c r="D292" s="46"/>
      <c r="E292" s="47"/>
      <c r="F292" s="44" t="str">
        <f aca="true">IF(OR(B292="",E292="",C292="Done",C292="Cancelled"),"",E292-TODAY())</f>
        <v/>
      </c>
      <c r="G292" s="48" t="str">
        <f aca="true">IF(OR(B292="",C292="Done",C292="Cancelled"),"",IF(AND(E292&lt;&gt;"",E292&lt;TODAY()),"OVERDUE",IF(AND(E292&lt;&gt;"",E292=TODAY()),"DUE TODAY",IF(AND(K292&lt;&gt;"",K292&lt;=TODAY()),"FOLLOW UP",IF(AND(E292&lt;&gt;"",E292&lt;=TODAY()+3),"DUE SOON",IF(E292="","NO DUE DATE",""))))))</f>
        <v/>
      </c>
      <c r="H292" s="45"/>
      <c r="I292" s="46"/>
      <c r="J292" s="45"/>
      <c r="K292" s="47"/>
      <c r="L292" s="47"/>
      <c r="M292" s="47"/>
      <c r="N292" s="45"/>
    </row>
    <row r="293" customFormat="false" ht="18" hidden="false" customHeight="true" outlineLevel="0" collapsed="false">
      <c r="A293" s="44" t="str">
        <f aca="false">IF(B293="","",ROW()-4)</f>
        <v/>
      </c>
      <c r="B293" s="45"/>
      <c r="C293" s="46"/>
      <c r="D293" s="46"/>
      <c r="E293" s="47"/>
      <c r="F293" s="44" t="str">
        <f aca="true">IF(OR(B293="",E293="",C293="Done",C293="Cancelled"),"",E293-TODAY())</f>
        <v/>
      </c>
      <c r="G293" s="48" t="str">
        <f aca="true">IF(OR(B293="",C293="Done",C293="Cancelled"),"",IF(AND(E293&lt;&gt;"",E293&lt;TODAY()),"OVERDUE",IF(AND(E293&lt;&gt;"",E293=TODAY()),"DUE TODAY",IF(AND(K293&lt;&gt;"",K293&lt;=TODAY()),"FOLLOW UP",IF(AND(E293&lt;&gt;"",E293&lt;=TODAY()+3),"DUE SOON",IF(E293="","NO DUE DATE",""))))))</f>
        <v/>
      </c>
      <c r="H293" s="45"/>
      <c r="I293" s="46"/>
      <c r="J293" s="45"/>
      <c r="K293" s="47"/>
      <c r="L293" s="47"/>
      <c r="M293" s="47"/>
      <c r="N293" s="45"/>
    </row>
    <row r="294" customFormat="false" ht="18" hidden="false" customHeight="true" outlineLevel="0" collapsed="false">
      <c r="A294" s="44" t="str">
        <f aca="false">IF(B294="","",ROW()-4)</f>
        <v/>
      </c>
      <c r="B294" s="45"/>
      <c r="C294" s="46"/>
      <c r="D294" s="46"/>
      <c r="E294" s="47"/>
      <c r="F294" s="44" t="str">
        <f aca="true">IF(OR(B294="",E294="",C294="Done",C294="Cancelled"),"",E294-TODAY())</f>
        <v/>
      </c>
      <c r="G294" s="48" t="str">
        <f aca="true">IF(OR(B294="",C294="Done",C294="Cancelled"),"",IF(AND(E294&lt;&gt;"",E294&lt;TODAY()),"OVERDUE",IF(AND(E294&lt;&gt;"",E294=TODAY()),"DUE TODAY",IF(AND(K294&lt;&gt;"",K294&lt;=TODAY()),"FOLLOW UP",IF(AND(E294&lt;&gt;"",E294&lt;=TODAY()+3),"DUE SOON",IF(E294="","NO DUE DATE",""))))))</f>
        <v/>
      </c>
      <c r="H294" s="45"/>
      <c r="I294" s="46"/>
      <c r="J294" s="45"/>
      <c r="K294" s="47"/>
      <c r="L294" s="47"/>
      <c r="M294" s="47"/>
      <c r="N294" s="45"/>
    </row>
    <row r="295" customFormat="false" ht="18" hidden="false" customHeight="true" outlineLevel="0" collapsed="false">
      <c r="A295" s="44" t="str">
        <f aca="false">IF(B295="","",ROW()-4)</f>
        <v/>
      </c>
      <c r="B295" s="45"/>
      <c r="C295" s="46"/>
      <c r="D295" s="46"/>
      <c r="E295" s="47"/>
      <c r="F295" s="44" t="str">
        <f aca="true">IF(OR(B295="",E295="",C295="Done",C295="Cancelled"),"",E295-TODAY())</f>
        <v/>
      </c>
      <c r="G295" s="48" t="str">
        <f aca="true">IF(OR(B295="",C295="Done",C295="Cancelled"),"",IF(AND(E295&lt;&gt;"",E295&lt;TODAY()),"OVERDUE",IF(AND(E295&lt;&gt;"",E295=TODAY()),"DUE TODAY",IF(AND(K295&lt;&gt;"",K295&lt;=TODAY()),"FOLLOW UP",IF(AND(E295&lt;&gt;"",E295&lt;=TODAY()+3),"DUE SOON",IF(E295="","NO DUE DATE",""))))))</f>
        <v/>
      </c>
      <c r="H295" s="45"/>
      <c r="I295" s="46"/>
      <c r="J295" s="45"/>
      <c r="K295" s="47"/>
      <c r="L295" s="47"/>
      <c r="M295" s="47"/>
      <c r="N295" s="45"/>
    </row>
    <row r="296" customFormat="false" ht="18" hidden="false" customHeight="true" outlineLevel="0" collapsed="false">
      <c r="A296" s="44" t="str">
        <f aca="false">IF(B296="","",ROW()-4)</f>
        <v/>
      </c>
      <c r="B296" s="45"/>
      <c r="C296" s="46"/>
      <c r="D296" s="46"/>
      <c r="E296" s="47"/>
      <c r="F296" s="44" t="str">
        <f aca="true">IF(OR(B296="",E296="",C296="Done",C296="Cancelled"),"",E296-TODAY())</f>
        <v/>
      </c>
      <c r="G296" s="48" t="str">
        <f aca="true">IF(OR(B296="",C296="Done",C296="Cancelled"),"",IF(AND(E296&lt;&gt;"",E296&lt;TODAY()),"OVERDUE",IF(AND(E296&lt;&gt;"",E296=TODAY()),"DUE TODAY",IF(AND(K296&lt;&gt;"",K296&lt;=TODAY()),"FOLLOW UP",IF(AND(E296&lt;&gt;"",E296&lt;=TODAY()+3),"DUE SOON",IF(E296="","NO DUE DATE",""))))))</f>
        <v/>
      </c>
      <c r="H296" s="45"/>
      <c r="I296" s="46"/>
      <c r="J296" s="45"/>
      <c r="K296" s="47"/>
      <c r="L296" s="47"/>
      <c r="M296" s="47"/>
      <c r="N296" s="45"/>
    </row>
    <row r="297" customFormat="false" ht="18" hidden="false" customHeight="true" outlineLevel="0" collapsed="false">
      <c r="A297" s="44" t="str">
        <f aca="false">IF(B297="","",ROW()-4)</f>
        <v/>
      </c>
      <c r="B297" s="45"/>
      <c r="C297" s="46"/>
      <c r="D297" s="46"/>
      <c r="E297" s="47"/>
      <c r="F297" s="44" t="str">
        <f aca="true">IF(OR(B297="",E297="",C297="Done",C297="Cancelled"),"",E297-TODAY())</f>
        <v/>
      </c>
      <c r="G297" s="48" t="str">
        <f aca="true">IF(OR(B297="",C297="Done",C297="Cancelled"),"",IF(AND(E297&lt;&gt;"",E297&lt;TODAY()),"OVERDUE",IF(AND(E297&lt;&gt;"",E297=TODAY()),"DUE TODAY",IF(AND(K297&lt;&gt;"",K297&lt;=TODAY()),"FOLLOW UP",IF(AND(E297&lt;&gt;"",E297&lt;=TODAY()+3),"DUE SOON",IF(E297="","NO DUE DATE",""))))))</f>
        <v/>
      </c>
      <c r="H297" s="45"/>
      <c r="I297" s="46"/>
      <c r="J297" s="45"/>
      <c r="K297" s="47"/>
      <c r="L297" s="47"/>
      <c r="M297" s="47"/>
      <c r="N297" s="45"/>
    </row>
    <row r="298" customFormat="false" ht="18" hidden="false" customHeight="true" outlineLevel="0" collapsed="false">
      <c r="A298" s="44" t="str">
        <f aca="false">IF(B298="","",ROW()-4)</f>
        <v/>
      </c>
      <c r="B298" s="45"/>
      <c r="C298" s="46"/>
      <c r="D298" s="46"/>
      <c r="E298" s="47"/>
      <c r="F298" s="44" t="str">
        <f aca="true">IF(OR(B298="",E298="",C298="Done",C298="Cancelled"),"",E298-TODAY())</f>
        <v/>
      </c>
      <c r="G298" s="48" t="str">
        <f aca="true">IF(OR(B298="",C298="Done",C298="Cancelled"),"",IF(AND(E298&lt;&gt;"",E298&lt;TODAY()),"OVERDUE",IF(AND(E298&lt;&gt;"",E298=TODAY()),"DUE TODAY",IF(AND(K298&lt;&gt;"",K298&lt;=TODAY()),"FOLLOW UP",IF(AND(E298&lt;&gt;"",E298&lt;=TODAY()+3),"DUE SOON",IF(E298="","NO DUE DATE",""))))))</f>
        <v/>
      </c>
      <c r="H298" s="45"/>
      <c r="I298" s="46"/>
      <c r="J298" s="45"/>
      <c r="K298" s="47"/>
      <c r="L298" s="47"/>
      <c r="M298" s="47"/>
      <c r="N298" s="45"/>
    </row>
    <row r="299" customFormat="false" ht="18" hidden="false" customHeight="true" outlineLevel="0" collapsed="false">
      <c r="A299" s="44" t="str">
        <f aca="false">IF(B299="","",ROW()-4)</f>
        <v/>
      </c>
      <c r="B299" s="45"/>
      <c r="C299" s="46"/>
      <c r="D299" s="46"/>
      <c r="E299" s="47"/>
      <c r="F299" s="44" t="str">
        <f aca="true">IF(OR(B299="",E299="",C299="Done",C299="Cancelled"),"",E299-TODAY())</f>
        <v/>
      </c>
      <c r="G299" s="48" t="str">
        <f aca="true">IF(OR(B299="",C299="Done",C299="Cancelled"),"",IF(AND(E299&lt;&gt;"",E299&lt;TODAY()),"OVERDUE",IF(AND(E299&lt;&gt;"",E299=TODAY()),"DUE TODAY",IF(AND(K299&lt;&gt;"",K299&lt;=TODAY()),"FOLLOW UP",IF(AND(E299&lt;&gt;"",E299&lt;=TODAY()+3),"DUE SOON",IF(E299="","NO DUE DATE",""))))))</f>
        <v/>
      </c>
      <c r="H299" s="45"/>
      <c r="I299" s="46"/>
      <c r="J299" s="45"/>
      <c r="K299" s="47"/>
      <c r="L299" s="47"/>
      <c r="M299" s="47"/>
      <c r="N299" s="45"/>
    </row>
    <row r="300" customFormat="false" ht="18" hidden="false" customHeight="true" outlineLevel="0" collapsed="false">
      <c r="A300" s="44" t="str">
        <f aca="false">IF(B300="","",ROW()-4)</f>
        <v/>
      </c>
      <c r="B300" s="45"/>
      <c r="C300" s="46"/>
      <c r="D300" s="46"/>
      <c r="E300" s="47"/>
      <c r="F300" s="44" t="str">
        <f aca="true">IF(OR(B300="",E300="",C300="Done",C300="Cancelled"),"",E300-TODAY())</f>
        <v/>
      </c>
      <c r="G300" s="48" t="str">
        <f aca="true">IF(OR(B300="",C300="Done",C300="Cancelled"),"",IF(AND(E300&lt;&gt;"",E300&lt;TODAY()),"OVERDUE",IF(AND(E300&lt;&gt;"",E300=TODAY()),"DUE TODAY",IF(AND(K300&lt;&gt;"",K300&lt;=TODAY()),"FOLLOW UP",IF(AND(E300&lt;&gt;"",E300&lt;=TODAY()+3),"DUE SOON",IF(E300="","NO DUE DATE",""))))))</f>
        <v/>
      </c>
      <c r="H300" s="45"/>
      <c r="I300" s="46"/>
      <c r="J300" s="45"/>
      <c r="K300" s="47"/>
      <c r="L300" s="47"/>
      <c r="M300" s="47"/>
      <c r="N300" s="45"/>
    </row>
    <row r="301" customFormat="false" ht="18" hidden="false" customHeight="true" outlineLevel="0" collapsed="false">
      <c r="A301" s="44" t="str">
        <f aca="false">IF(B301="","",ROW()-4)</f>
        <v/>
      </c>
      <c r="B301" s="45"/>
      <c r="C301" s="46"/>
      <c r="D301" s="46"/>
      <c r="E301" s="47"/>
      <c r="F301" s="44" t="str">
        <f aca="true">IF(OR(B301="",E301="",C301="Done",C301="Cancelled"),"",E301-TODAY())</f>
        <v/>
      </c>
      <c r="G301" s="48" t="str">
        <f aca="true">IF(OR(B301="",C301="Done",C301="Cancelled"),"",IF(AND(E301&lt;&gt;"",E301&lt;TODAY()),"OVERDUE",IF(AND(E301&lt;&gt;"",E301=TODAY()),"DUE TODAY",IF(AND(K301&lt;&gt;"",K301&lt;=TODAY()),"FOLLOW UP",IF(AND(E301&lt;&gt;"",E301&lt;=TODAY()+3),"DUE SOON",IF(E301="","NO DUE DATE",""))))))</f>
        <v/>
      </c>
      <c r="H301" s="45"/>
      <c r="I301" s="46"/>
      <c r="J301" s="45"/>
      <c r="K301" s="47"/>
      <c r="L301" s="47"/>
      <c r="M301" s="47"/>
      <c r="N301" s="45"/>
    </row>
    <row r="302" customFormat="false" ht="18" hidden="false" customHeight="true" outlineLevel="0" collapsed="false">
      <c r="A302" s="44" t="str">
        <f aca="false">IF(B302="","",ROW()-4)</f>
        <v/>
      </c>
      <c r="B302" s="45"/>
      <c r="C302" s="46"/>
      <c r="D302" s="46"/>
      <c r="E302" s="47"/>
      <c r="F302" s="44" t="str">
        <f aca="true">IF(OR(B302="",E302="",C302="Done",C302="Cancelled"),"",E302-TODAY())</f>
        <v/>
      </c>
      <c r="G302" s="48" t="str">
        <f aca="true">IF(OR(B302="",C302="Done",C302="Cancelled"),"",IF(AND(E302&lt;&gt;"",E302&lt;TODAY()),"OVERDUE",IF(AND(E302&lt;&gt;"",E302=TODAY()),"DUE TODAY",IF(AND(K302&lt;&gt;"",K302&lt;=TODAY()),"FOLLOW UP",IF(AND(E302&lt;&gt;"",E302&lt;=TODAY()+3),"DUE SOON",IF(E302="","NO DUE DATE",""))))))</f>
        <v/>
      </c>
      <c r="H302" s="45"/>
      <c r="I302" s="46"/>
      <c r="J302" s="45"/>
      <c r="K302" s="47"/>
      <c r="L302" s="47"/>
      <c r="M302" s="47"/>
      <c r="N302" s="45"/>
    </row>
    <row r="303" customFormat="false" ht="18" hidden="false" customHeight="true" outlineLevel="0" collapsed="false">
      <c r="A303" s="44" t="str">
        <f aca="false">IF(B303="","",ROW()-4)</f>
        <v/>
      </c>
      <c r="B303" s="45"/>
      <c r="C303" s="46"/>
      <c r="D303" s="46"/>
      <c r="E303" s="47"/>
      <c r="F303" s="44" t="str">
        <f aca="true">IF(OR(B303="",E303="",C303="Done",C303="Cancelled"),"",E303-TODAY())</f>
        <v/>
      </c>
      <c r="G303" s="48" t="str">
        <f aca="true">IF(OR(B303="",C303="Done",C303="Cancelled"),"",IF(AND(E303&lt;&gt;"",E303&lt;TODAY()),"OVERDUE",IF(AND(E303&lt;&gt;"",E303=TODAY()),"DUE TODAY",IF(AND(K303&lt;&gt;"",K303&lt;=TODAY()),"FOLLOW UP",IF(AND(E303&lt;&gt;"",E303&lt;=TODAY()+3),"DUE SOON",IF(E303="","NO DUE DATE",""))))))</f>
        <v/>
      </c>
      <c r="H303" s="45"/>
      <c r="I303" s="46"/>
      <c r="J303" s="45"/>
      <c r="K303" s="47"/>
      <c r="L303" s="47"/>
      <c r="M303" s="47"/>
      <c r="N303" s="45"/>
    </row>
    <row r="304" customFormat="false" ht="18" hidden="false" customHeight="true" outlineLevel="0" collapsed="false">
      <c r="A304" s="44" t="str">
        <f aca="false">IF(B304="","",ROW()-4)</f>
        <v/>
      </c>
      <c r="B304" s="45"/>
      <c r="C304" s="46"/>
      <c r="D304" s="46"/>
      <c r="E304" s="47"/>
      <c r="F304" s="44" t="str">
        <f aca="true">IF(OR(B304="",E304="",C304="Done",C304="Cancelled"),"",E304-TODAY())</f>
        <v/>
      </c>
      <c r="G304" s="48" t="str">
        <f aca="true">IF(OR(B304="",C304="Done",C304="Cancelled"),"",IF(AND(E304&lt;&gt;"",E304&lt;TODAY()),"OVERDUE",IF(AND(E304&lt;&gt;"",E304=TODAY()),"DUE TODAY",IF(AND(K304&lt;&gt;"",K304&lt;=TODAY()),"FOLLOW UP",IF(AND(E304&lt;&gt;"",E304&lt;=TODAY()+3),"DUE SOON",IF(E304="","NO DUE DATE",""))))))</f>
        <v/>
      </c>
      <c r="H304" s="45"/>
      <c r="I304" s="46"/>
      <c r="J304" s="45"/>
      <c r="K304" s="47"/>
      <c r="L304" s="47"/>
      <c r="M304" s="47"/>
      <c r="N304" s="45"/>
    </row>
    <row r="305" customFormat="false" ht="18" hidden="false" customHeight="true" outlineLevel="0" collapsed="false">
      <c r="A305" s="44" t="str">
        <f aca="false">IF(B305="","",ROW()-4)</f>
        <v/>
      </c>
      <c r="B305" s="45"/>
      <c r="C305" s="46"/>
      <c r="D305" s="46"/>
      <c r="E305" s="47"/>
      <c r="F305" s="44" t="str">
        <f aca="true">IF(OR(B305="",E305="",C305="Done",C305="Cancelled"),"",E305-TODAY())</f>
        <v/>
      </c>
      <c r="G305" s="48" t="str">
        <f aca="true">IF(OR(B305="",C305="Done",C305="Cancelled"),"",IF(AND(E305&lt;&gt;"",E305&lt;TODAY()),"OVERDUE",IF(AND(E305&lt;&gt;"",E305=TODAY()),"DUE TODAY",IF(AND(K305&lt;&gt;"",K305&lt;=TODAY()),"FOLLOW UP",IF(AND(E305&lt;&gt;"",E305&lt;=TODAY()+3),"DUE SOON",IF(E305="","NO DUE DATE",""))))))</f>
        <v/>
      </c>
      <c r="H305" s="45"/>
      <c r="I305" s="46"/>
      <c r="J305" s="45"/>
      <c r="K305" s="47"/>
      <c r="L305" s="47"/>
      <c r="M305" s="47"/>
      <c r="N305" s="45"/>
    </row>
    <row r="306" customFormat="false" ht="18" hidden="false" customHeight="true" outlineLevel="0" collapsed="false">
      <c r="A306" s="44" t="str">
        <f aca="false">IF(B306="","",ROW()-4)</f>
        <v/>
      </c>
      <c r="B306" s="45"/>
      <c r="C306" s="46"/>
      <c r="D306" s="46"/>
      <c r="E306" s="47"/>
      <c r="F306" s="44" t="str">
        <f aca="true">IF(OR(B306="",E306="",C306="Done",C306="Cancelled"),"",E306-TODAY())</f>
        <v/>
      </c>
      <c r="G306" s="48" t="str">
        <f aca="true">IF(OR(B306="",C306="Done",C306="Cancelled"),"",IF(AND(E306&lt;&gt;"",E306&lt;TODAY()),"OVERDUE",IF(AND(E306&lt;&gt;"",E306=TODAY()),"DUE TODAY",IF(AND(K306&lt;&gt;"",K306&lt;=TODAY()),"FOLLOW UP",IF(AND(E306&lt;&gt;"",E306&lt;=TODAY()+3),"DUE SOON",IF(E306="","NO DUE DATE",""))))))</f>
        <v/>
      </c>
      <c r="H306" s="45"/>
      <c r="I306" s="46"/>
      <c r="J306" s="45"/>
      <c r="K306" s="47"/>
      <c r="L306" s="47"/>
      <c r="M306" s="47"/>
      <c r="N306" s="45"/>
    </row>
    <row r="307" customFormat="false" ht="18" hidden="false" customHeight="true" outlineLevel="0" collapsed="false">
      <c r="A307" s="44" t="str">
        <f aca="false">IF(B307="","",ROW()-4)</f>
        <v/>
      </c>
      <c r="B307" s="45"/>
      <c r="C307" s="46"/>
      <c r="D307" s="46"/>
      <c r="E307" s="47"/>
      <c r="F307" s="44" t="str">
        <f aca="true">IF(OR(B307="",E307="",C307="Done",C307="Cancelled"),"",E307-TODAY())</f>
        <v/>
      </c>
      <c r="G307" s="48" t="str">
        <f aca="true">IF(OR(B307="",C307="Done",C307="Cancelled"),"",IF(AND(E307&lt;&gt;"",E307&lt;TODAY()),"OVERDUE",IF(AND(E307&lt;&gt;"",E307=TODAY()),"DUE TODAY",IF(AND(K307&lt;&gt;"",K307&lt;=TODAY()),"FOLLOW UP",IF(AND(E307&lt;&gt;"",E307&lt;=TODAY()+3),"DUE SOON",IF(E307="","NO DUE DATE",""))))))</f>
        <v/>
      </c>
      <c r="H307" s="45"/>
      <c r="I307" s="46"/>
      <c r="J307" s="45"/>
      <c r="K307" s="47"/>
      <c r="L307" s="47"/>
      <c r="M307" s="47"/>
      <c r="N307" s="45"/>
    </row>
    <row r="308" customFormat="false" ht="18" hidden="false" customHeight="true" outlineLevel="0" collapsed="false">
      <c r="A308" s="44" t="str">
        <f aca="false">IF(B308="","",ROW()-4)</f>
        <v/>
      </c>
      <c r="B308" s="45"/>
      <c r="C308" s="46"/>
      <c r="D308" s="46"/>
      <c r="E308" s="47"/>
      <c r="F308" s="44" t="str">
        <f aca="true">IF(OR(B308="",E308="",C308="Done",C308="Cancelled"),"",E308-TODAY())</f>
        <v/>
      </c>
      <c r="G308" s="48" t="str">
        <f aca="true">IF(OR(B308="",C308="Done",C308="Cancelled"),"",IF(AND(E308&lt;&gt;"",E308&lt;TODAY()),"OVERDUE",IF(AND(E308&lt;&gt;"",E308=TODAY()),"DUE TODAY",IF(AND(K308&lt;&gt;"",K308&lt;=TODAY()),"FOLLOW UP",IF(AND(E308&lt;&gt;"",E308&lt;=TODAY()+3),"DUE SOON",IF(E308="","NO DUE DATE",""))))))</f>
        <v/>
      </c>
      <c r="H308" s="45"/>
      <c r="I308" s="46"/>
      <c r="J308" s="45"/>
      <c r="K308" s="47"/>
      <c r="L308" s="47"/>
      <c r="M308" s="47"/>
      <c r="N308" s="45"/>
    </row>
    <row r="309" customFormat="false" ht="18" hidden="false" customHeight="true" outlineLevel="0" collapsed="false">
      <c r="A309" s="44" t="str">
        <f aca="false">IF(B309="","",ROW()-4)</f>
        <v/>
      </c>
      <c r="B309" s="45"/>
      <c r="C309" s="46"/>
      <c r="D309" s="46"/>
      <c r="E309" s="47"/>
      <c r="F309" s="44" t="str">
        <f aca="true">IF(OR(B309="",E309="",C309="Done",C309="Cancelled"),"",E309-TODAY())</f>
        <v/>
      </c>
      <c r="G309" s="48" t="str">
        <f aca="true">IF(OR(B309="",C309="Done",C309="Cancelled"),"",IF(AND(E309&lt;&gt;"",E309&lt;TODAY()),"OVERDUE",IF(AND(E309&lt;&gt;"",E309=TODAY()),"DUE TODAY",IF(AND(K309&lt;&gt;"",K309&lt;=TODAY()),"FOLLOW UP",IF(AND(E309&lt;&gt;"",E309&lt;=TODAY()+3),"DUE SOON",IF(E309="","NO DUE DATE",""))))))</f>
        <v/>
      </c>
      <c r="H309" s="45"/>
      <c r="I309" s="46"/>
      <c r="J309" s="45"/>
      <c r="K309" s="47"/>
      <c r="L309" s="47"/>
      <c r="M309" s="47"/>
      <c r="N309" s="45"/>
    </row>
    <row r="310" customFormat="false" ht="18" hidden="false" customHeight="true" outlineLevel="0" collapsed="false">
      <c r="A310" s="44" t="str">
        <f aca="false">IF(B310="","",ROW()-4)</f>
        <v/>
      </c>
      <c r="B310" s="45"/>
      <c r="C310" s="46"/>
      <c r="D310" s="46"/>
      <c r="E310" s="47"/>
      <c r="F310" s="44" t="str">
        <f aca="true">IF(OR(B310="",E310="",C310="Done",C310="Cancelled"),"",E310-TODAY())</f>
        <v/>
      </c>
      <c r="G310" s="48" t="str">
        <f aca="true">IF(OR(B310="",C310="Done",C310="Cancelled"),"",IF(AND(E310&lt;&gt;"",E310&lt;TODAY()),"OVERDUE",IF(AND(E310&lt;&gt;"",E310=TODAY()),"DUE TODAY",IF(AND(K310&lt;&gt;"",K310&lt;=TODAY()),"FOLLOW UP",IF(AND(E310&lt;&gt;"",E310&lt;=TODAY()+3),"DUE SOON",IF(E310="","NO DUE DATE",""))))))</f>
        <v/>
      </c>
      <c r="H310" s="45"/>
      <c r="I310" s="46"/>
      <c r="J310" s="45"/>
      <c r="K310" s="47"/>
      <c r="L310" s="47"/>
      <c r="M310" s="47"/>
      <c r="N310" s="45"/>
    </row>
    <row r="311" customFormat="false" ht="18" hidden="false" customHeight="true" outlineLevel="0" collapsed="false">
      <c r="A311" s="44" t="str">
        <f aca="false">IF(B311="","",ROW()-4)</f>
        <v/>
      </c>
      <c r="B311" s="45"/>
      <c r="C311" s="46"/>
      <c r="D311" s="46"/>
      <c r="E311" s="47"/>
      <c r="F311" s="44" t="str">
        <f aca="true">IF(OR(B311="",E311="",C311="Done",C311="Cancelled"),"",E311-TODAY())</f>
        <v/>
      </c>
      <c r="G311" s="48" t="str">
        <f aca="true">IF(OR(B311="",C311="Done",C311="Cancelled"),"",IF(AND(E311&lt;&gt;"",E311&lt;TODAY()),"OVERDUE",IF(AND(E311&lt;&gt;"",E311=TODAY()),"DUE TODAY",IF(AND(K311&lt;&gt;"",K311&lt;=TODAY()),"FOLLOW UP",IF(AND(E311&lt;&gt;"",E311&lt;=TODAY()+3),"DUE SOON",IF(E311="","NO DUE DATE",""))))))</f>
        <v/>
      </c>
      <c r="H311" s="45"/>
      <c r="I311" s="46"/>
      <c r="J311" s="45"/>
      <c r="K311" s="47"/>
      <c r="L311" s="47"/>
      <c r="M311" s="47"/>
      <c r="N311" s="45"/>
    </row>
    <row r="312" customFormat="false" ht="18" hidden="false" customHeight="true" outlineLevel="0" collapsed="false">
      <c r="A312" s="44" t="str">
        <f aca="false">IF(B312="","",ROW()-4)</f>
        <v/>
      </c>
      <c r="B312" s="45"/>
      <c r="C312" s="46"/>
      <c r="D312" s="46"/>
      <c r="E312" s="47"/>
      <c r="F312" s="44" t="str">
        <f aca="true">IF(OR(B312="",E312="",C312="Done",C312="Cancelled"),"",E312-TODAY())</f>
        <v/>
      </c>
      <c r="G312" s="48" t="str">
        <f aca="true">IF(OR(B312="",C312="Done",C312="Cancelled"),"",IF(AND(E312&lt;&gt;"",E312&lt;TODAY()),"OVERDUE",IF(AND(E312&lt;&gt;"",E312=TODAY()),"DUE TODAY",IF(AND(K312&lt;&gt;"",K312&lt;=TODAY()),"FOLLOW UP",IF(AND(E312&lt;&gt;"",E312&lt;=TODAY()+3),"DUE SOON",IF(E312="","NO DUE DATE",""))))))</f>
        <v/>
      </c>
      <c r="H312" s="45"/>
      <c r="I312" s="46"/>
      <c r="J312" s="45"/>
      <c r="K312" s="47"/>
      <c r="L312" s="47"/>
      <c r="M312" s="47"/>
      <c r="N312" s="45"/>
    </row>
    <row r="313" customFormat="false" ht="18" hidden="false" customHeight="true" outlineLevel="0" collapsed="false">
      <c r="A313" s="44" t="str">
        <f aca="false">IF(B313="","",ROW()-4)</f>
        <v/>
      </c>
      <c r="B313" s="45"/>
      <c r="C313" s="46"/>
      <c r="D313" s="46"/>
      <c r="E313" s="47"/>
      <c r="F313" s="44" t="str">
        <f aca="true">IF(OR(B313="",E313="",C313="Done",C313="Cancelled"),"",E313-TODAY())</f>
        <v/>
      </c>
      <c r="G313" s="48" t="str">
        <f aca="true">IF(OR(B313="",C313="Done",C313="Cancelled"),"",IF(AND(E313&lt;&gt;"",E313&lt;TODAY()),"OVERDUE",IF(AND(E313&lt;&gt;"",E313=TODAY()),"DUE TODAY",IF(AND(K313&lt;&gt;"",K313&lt;=TODAY()),"FOLLOW UP",IF(AND(E313&lt;&gt;"",E313&lt;=TODAY()+3),"DUE SOON",IF(E313="","NO DUE DATE",""))))))</f>
        <v/>
      </c>
      <c r="H313" s="45"/>
      <c r="I313" s="46"/>
      <c r="J313" s="45"/>
      <c r="K313" s="47"/>
      <c r="L313" s="47"/>
      <c r="M313" s="47"/>
      <c r="N313" s="45"/>
    </row>
    <row r="314" customFormat="false" ht="18" hidden="false" customHeight="true" outlineLevel="0" collapsed="false">
      <c r="A314" s="44" t="str">
        <f aca="false">IF(B314="","",ROW()-4)</f>
        <v/>
      </c>
      <c r="B314" s="45"/>
      <c r="C314" s="46"/>
      <c r="D314" s="46"/>
      <c r="E314" s="47"/>
      <c r="F314" s="44" t="str">
        <f aca="true">IF(OR(B314="",E314="",C314="Done",C314="Cancelled"),"",E314-TODAY())</f>
        <v/>
      </c>
      <c r="G314" s="48" t="str">
        <f aca="true">IF(OR(B314="",C314="Done",C314="Cancelled"),"",IF(AND(E314&lt;&gt;"",E314&lt;TODAY()),"OVERDUE",IF(AND(E314&lt;&gt;"",E314=TODAY()),"DUE TODAY",IF(AND(K314&lt;&gt;"",K314&lt;=TODAY()),"FOLLOW UP",IF(AND(E314&lt;&gt;"",E314&lt;=TODAY()+3),"DUE SOON",IF(E314="","NO DUE DATE",""))))))</f>
        <v/>
      </c>
      <c r="H314" s="45"/>
      <c r="I314" s="46"/>
      <c r="J314" s="45"/>
      <c r="K314" s="47"/>
      <c r="L314" s="47"/>
      <c r="M314" s="47"/>
      <c r="N314" s="45"/>
    </row>
    <row r="315" customFormat="false" ht="18" hidden="false" customHeight="true" outlineLevel="0" collapsed="false">
      <c r="A315" s="44" t="str">
        <f aca="false">IF(B315="","",ROW()-4)</f>
        <v/>
      </c>
      <c r="B315" s="45"/>
      <c r="C315" s="46"/>
      <c r="D315" s="46"/>
      <c r="E315" s="47"/>
      <c r="F315" s="44" t="str">
        <f aca="true">IF(OR(B315="",E315="",C315="Done",C315="Cancelled"),"",E315-TODAY())</f>
        <v/>
      </c>
      <c r="G315" s="48" t="str">
        <f aca="true">IF(OR(B315="",C315="Done",C315="Cancelled"),"",IF(AND(E315&lt;&gt;"",E315&lt;TODAY()),"OVERDUE",IF(AND(E315&lt;&gt;"",E315=TODAY()),"DUE TODAY",IF(AND(K315&lt;&gt;"",K315&lt;=TODAY()),"FOLLOW UP",IF(AND(E315&lt;&gt;"",E315&lt;=TODAY()+3),"DUE SOON",IF(E315="","NO DUE DATE",""))))))</f>
        <v/>
      </c>
      <c r="H315" s="45"/>
      <c r="I315" s="46"/>
      <c r="J315" s="45"/>
      <c r="K315" s="47"/>
      <c r="L315" s="47"/>
      <c r="M315" s="47"/>
      <c r="N315" s="45"/>
    </row>
    <row r="316" customFormat="false" ht="18" hidden="false" customHeight="true" outlineLevel="0" collapsed="false">
      <c r="A316" s="44" t="str">
        <f aca="false">IF(B316="","",ROW()-4)</f>
        <v/>
      </c>
      <c r="B316" s="45"/>
      <c r="C316" s="46"/>
      <c r="D316" s="46"/>
      <c r="E316" s="47"/>
      <c r="F316" s="44" t="str">
        <f aca="true">IF(OR(B316="",E316="",C316="Done",C316="Cancelled"),"",E316-TODAY())</f>
        <v/>
      </c>
      <c r="G316" s="48" t="str">
        <f aca="true">IF(OR(B316="",C316="Done",C316="Cancelled"),"",IF(AND(E316&lt;&gt;"",E316&lt;TODAY()),"OVERDUE",IF(AND(E316&lt;&gt;"",E316=TODAY()),"DUE TODAY",IF(AND(K316&lt;&gt;"",K316&lt;=TODAY()),"FOLLOW UP",IF(AND(E316&lt;&gt;"",E316&lt;=TODAY()+3),"DUE SOON",IF(E316="","NO DUE DATE",""))))))</f>
        <v/>
      </c>
      <c r="H316" s="45"/>
      <c r="I316" s="46"/>
      <c r="J316" s="45"/>
      <c r="K316" s="47"/>
      <c r="L316" s="47"/>
      <c r="M316" s="47"/>
      <c r="N316" s="45"/>
    </row>
    <row r="317" customFormat="false" ht="18" hidden="false" customHeight="true" outlineLevel="0" collapsed="false">
      <c r="A317" s="44" t="str">
        <f aca="false">IF(B317="","",ROW()-4)</f>
        <v/>
      </c>
      <c r="B317" s="45"/>
      <c r="C317" s="46"/>
      <c r="D317" s="46"/>
      <c r="E317" s="47"/>
      <c r="F317" s="44" t="str">
        <f aca="true">IF(OR(B317="",E317="",C317="Done",C317="Cancelled"),"",E317-TODAY())</f>
        <v/>
      </c>
      <c r="G317" s="48" t="str">
        <f aca="true">IF(OR(B317="",C317="Done",C317="Cancelled"),"",IF(AND(E317&lt;&gt;"",E317&lt;TODAY()),"OVERDUE",IF(AND(E317&lt;&gt;"",E317=TODAY()),"DUE TODAY",IF(AND(K317&lt;&gt;"",K317&lt;=TODAY()),"FOLLOW UP",IF(AND(E317&lt;&gt;"",E317&lt;=TODAY()+3),"DUE SOON",IF(E317="","NO DUE DATE",""))))))</f>
        <v/>
      </c>
      <c r="H317" s="45"/>
      <c r="I317" s="46"/>
      <c r="J317" s="45"/>
      <c r="K317" s="47"/>
      <c r="L317" s="47"/>
      <c r="M317" s="47"/>
      <c r="N317" s="45"/>
    </row>
    <row r="318" customFormat="false" ht="18" hidden="false" customHeight="true" outlineLevel="0" collapsed="false">
      <c r="A318" s="44" t="str">
        <f aca="false">IF(B318="","",ROW()-4)</f>
        <v/>
      </c>
      <c r="B318" s="45"/>
      <c r="C318" s="46"/>
      <c r="D318" s="46"/>
      <c r="E318" s="47"/>
      <c r="F318" s="44" t="str">
        <f aca="true">IF(OR(B318="",E318="",C318="Done",C318="Cancelled"),"",E318-TODAY())</f>
        <v/>
      </c>
      <c r="G318" s="48" t="str">
        <f aca="true">IF(OR(B318="",C318="Done",C318="Cancelled"),"",IF(AND(E318&lt;&gt;"",E318&lt;TODAY()),"OVERDUE",IF(AND(E318&lt;&gt;"",E318=TODAY()),"DUE TODAY",IF(AND(K318&lt;&gt;"",K318&lt;=TODAY()),"FOLLOW UP",IF(AND(E318&lt;&gt;"",E318&lt;=TODAY()+3),"DUE SOON",IF(E318="","NO DUE DATE",""))))))</f>
        <v/>
      </c>
      <c r="H318" s="45"/>
      <c r="I318" s="46"/>
      <c r="J318" s="45"/>
      <c r="K318" s="47"/>
      <c r="L318" s="47"/>
      <c r="M318" s="47"/>
      <c r="N318" s="45"/>
    </row>
    <row r="319" customFormat="false" ht="18" hidden="false" customHeight="true" outlineLevel="0" collapsed="false">
      <c r="A319" s="44" t="str">
        <f aca="false">IF(B319="","",ROW()-4)</f>
        <v/>
      </c>
      <c r="B319" s="45"/>
      <c r="C319" s="46"/>
      <c r="D319" s="46"/>
      <c r="E319" s="47"/>
      <c r="F319" s="44" t="str">
        <f aca="true">IF(OR(B319="",E319="",C319="Done",C319="Cancelled"),"",E319-TODAY())</f>
        <v/>
      </c>
      <c r="G319" s="48" t="str">
        <f aca="true">IF(OR(B319="",C319="Done",C319="Cancelled"),"",IF(AND(E319&lt;&gt;"",E319&lt;TODAY()),"OVERDUE",IF(AND(E319&lt;&gt;"",E319=TODAY()),"DUE TODAY",IF(AND(K319&lt;&gt;"",K319&lt;=TODAY()),"FOLLOW UP",IF(AND(E319&lt;&gt;"",E319&lt;=TODAY()+3),"DUE SOON",IF(E319="","NO DUE DATE",""))))))</f>
        <v/>
      </c>
      <c r="H319" s="45"/>
      <c r="I319" s="46"/>
      <c r="J319" s="45"/>
      <c r="K319" s="47"/>
      <c r="L319" s="47"/>
      <c r="M319" s="47"/>
      <c r="N319" s="45"/>
    </row>
    <row r="320" customFormat="false" ht="18" hidden="false" customHeight="true" outlineLevel="0" collapsed="false">
      <c r="A320" s="44" t="str">
        <f aca="false">IF(B320="","",ROW()-4)</f>
        <v/>
      </c>
      <c r="B320" s="45"/>
      <c r="C320" s="46"/>
      <c r="D320" s="46"/>
      <c r="E320" s="47"/>
      <c r="F320" s="44" t="str">
        <f aca="true">IF(OR(B320="",E320="",C320="Done",C320="Cancelled"),"",E320-TODAY())</f>
        <v/>
      </c>
      <c r="G320" s="48" t="str">
        <f aca="true">IF(OR(B320="",C320="Done",C320="Cancelled"),"",IF(AND(E320&lt;&gt;"",E320&lt;TODAY()),"OVERDUE",IF(AND(E320&lt;&gt;"",E320=TODAY()),"DUE TODAY",IF(AND(K320&lt;&gt;"",K320&lt;=TODAY()),"FOLLOW UP",IF(AND(E320&lt;&gt;"",E320&lt;=TODAY()+3),"DUE SOON",IF(E320="","NO DUE DATE",""))))))</f>
        <v/>
      </c>
      <c r="H320" s="45"/>
      <c r="I320" s="46"/>
      <c r="J320" s="45"/>
      <c r="K320" s="47"/>
      <c r="L320" s="47"/>
      <c r="M320" s="47"/>
      <c r="N320" s="45"/>
    </row>
    <row r="321" customFormat="false" ht="18" hidden="false" customHeight="true" outlineLevel="0" collapsed="false">
      <c r="A321" s="44" t="str">
        <f aca="false">IF(B321="","",ROW()-4)</f>
        <v/>
      </c>
      <c r="B321" s="45"/>
      <c r="C321" s="46"/>
      <c r="D321" s="46"/>
      <c r="E321" s="47"/>
      <c r="F321" s="44" t="str">
        <f aca="true">IF(OR(B321="",E321="",C321="Done",C321="Cancelled"),"",E321-TODAY())</f>
        <v/>
      </c>
      <c r="G321" s="48" t="str">
        <f aca="true">IF(OR(B321="",C321="Done",C321="Cancelled"),"",IF(AND(E321&lt;&gt;"",E321&lt;TODAY()),"OVERDUE",IF(AND(E321&lt;&gt;"",E321=TODAY()),"DUE TODAY",IF(AND(K321&lt;&gt;"",K321&lt;=TODAY()),"FOLLOW UP",IF(AND(E321&lt;&gt;"",E321&lt;=TODAY()+3),"DUE SOON",IF(E321="","NO DUE DATE",""))))))</f>
        <v/>
      </c>
      <c r="H321" s="45"/>
      <c r="I321" s="46"/>
      <c r="J321" s="45"/>
      <c r="K321" s="47"/>
      <c r="L321" s="47"/>
      <c r="M321" s="47"/>
      <c r="N321" s="45"/>
    </row>
    <row r="322" customFormat="false" ht="18" hidden="false" customHeight="true" outlineLevel="0" collapsed="false">
      <c r="A322" s="44" t="str">
        <f aca="false">IF(B322="","",ROW()-4)</f>
        <v/>
      </c>
      <c r="B322" s="45"/>
      <c r="C322" s="46"/>
      <c r="D322" s="46"/>
      <c r="E322" s="47"/>
      <c r="F322" s="44" t="str">
        <f aca="true">IF(OR(B322="",E322="",C322="Done",C322="Cancelled"),"",E322-TODAY())</f>
        <v/>
      </c>
      <c r="G322" s="48" t="str">
        <f aca="true">IF(OR(B322="",C322="Done",C322="Cancelled"),"",IF(AND(E322&lt;&gt;"",E322&lt;TODAY()),"OVERDUE",IF(AND(E322&lt;&gt;"",E322=TODAY()),"DUE TODAY",IF(AND(K322&lt;&gt;"",K322&lt;=TODAY()),"FOLLOW UP",IF(AND(E322&lt;&gt;"",E322&lt;=TODAY()+3),"DUE SOON",IF(E322="","NO DUE DATE",""))))))</f>
        <v/>
      </c>
      <c r="H322" s="45"/>
      <c r="I322" s="46"/>
      <c r="J322" s="45"/>
      <c r="K322" s="47"/>
      <c r="L322" s="47"/>
      <c r="M322" s="47"/>
      <c r="N322" s="45"/>
    </row>
    <row r="323" customFormat="false" ht="18" hidden="false" customHeight="true" outlineLevel="0" collapsed="false">
      <c r="A323" s="44" t="str">
        <f aca="false">IF(B323="","",ROW()-4)</f>
        <v/>
      </c>
      <c r="B323" s="45"/>
      <c r="C323" s="46"/>
      <c r="D323" s="46"/>
      <c r="E323" s="47"/>
      <c r="F323" s="44" t="str">
        <f aca="true">IF(OR(B323="",E323="",C323="Done",C323="Cancelled"),"",E323-TODAY())</f>
        <v/>
      </c>
      <c r="G323" s="48" t="str">
        <f aca="true">IF(OR(B323="",C323="Done",C323="Cancelled"),"",IF(AND(E323&lt;&gt;"",E323&lt;TODAY()),"OVERDUE",IF(AND(E323&lt;&gt;"",E323=TODAY()),"DUE TODAY",IF(AND(K323&lt;&gt;"",K323&lt;=TODAY()),"FOLLOW UP",IF(AND(E323&lt;&gt;"",E323&lt;=TODAY()+3),"DUE SOON",IF(E323="","NO DUE DATE",""))))))</f>
        <v/>
      </c>
      <c r="H323" s="45"/>
      <c r="I323" s="46"/>
      <c r="J323" s="45"/>
      <c r="K323" s="47"/>
      <c r="L323" s="47"/>
      <c r="M323" s="47"/>
      <c r="N323" s="45"/>
    </row>
    <row r="324" customFormat="false" ht="18" hidden="false" customHeight="true" outlineLevel="0" collapsed="false">
      <c r="A324" s="44" t="str">
        <f aca="false">IF(B324="","",ROW()-4)</f>
        <v/>
      </c>
      <c r="B324" s="45"/>
      <c r="C324" s="46"/>
      <c r="D324" s="46"/>
      <c r="E324" s="47"/>
      <c r="F324" s="44" t="str">
        <f aca="true">IF(OR(B324="",E324="",C324="Done",C324="Cancelled"),"",E324-TODAY())</f>
        <v/>
      </c>
      <c r="G324" s="48" t="str">
        <f aca="true">IF(OR(B324="",C324="Done",C324="Cancelled"),"",IF(AND(E324&lt;&gt;"",E324&lt;TODAY()),"OVERDUE",IF(AND(E324&lt;&gt;"",E324=TODAY()),"DUE TODAY",IF(AND(K324&lt;&gt;"",K324&lt;=TODAY()),"FOLLOW UP",IF(AND(E324&lt;&gt;"",E324&lt;=TODAY()+3),"DUE SOON",IF(E324="","NO DUE DATE",""))))))</f>
        <v/>
      </c>
      <c r="H324" s="45"/>
      <c r="I324" s="46"/>
      <c r="J324" s="45"/>
      <c r="K324" s="47"/>
      <c r="L324" s="47"/>
      <c r="M324" s="47"/>
      <c r="N324" s="45"/>
    </row>
    <row r="325" customFormat="false" ht="18" hidden="false" customHeight="true" outlineLevel="0" collapsed="false">
      <c r="A325" s="44" t="str">
        <f aca="false">IF(B325="","",ROW()-4)</f>
        <v/>
      </c>
      <c r="B325" s="45"/>
      <c r="C325" s="46"/>
      <c r="D325" s="46"/>
      <c r="E325" s="47"/>
      <c r="F325" s="44" t="str">
        <f aca="true">IF(OR(B325="",E325="",C325="Done",C325="Cancelled"),"",E325-TODAY())</f>
        <v/>
      </c>
      <c r="G325" s="48" t="str">
        <f aca="true">IF(OR(B325="",C325="Done",C325="Cancelled"),"",IF(AND(E325&lt;&gt;"",E325&lt;TODAY()),"OVERDUE",IF(AND(E325&lt;&gt;"",E325=TODAY()),"DUE TODAY",IF(AND(K325&lt;&gt;"",K325&lt;=TODAY()),"FOLLOW UP",IF(AND(E325&lt;&gt;"",E325&lt;=TODAY()+3),"DUE SOON",IF(E325="","NO DUE DATE",""))))))</f>
        <v/>
      </c>
      <c r="H325" s="45"/>
      <c r="I325" s="46"/>
      <c r="J325" s="45"/>
      <c r="K325" s="47"/>
      <c r="L325" s="47"/>
      <c r="M325" s="47"/>
      <c r="N325" s="45"/>
    </row>
    <row r="326" customFormat="false" ht="18" hidden="false" customHeight="true" outlineLevel="0" collapsed="false">
      <c r="A326" s="44" t="str">
        <f aca="false">IF(B326="","",ROW()-4)</f>
        <v/>
      </c>
      <c r="B326" s="45"/>
      <c r="C326" s="46"/>
      <c r="D326" s="46"/>
      <c r="E326" s="47"/>
      <c r="F326" s="44" t="str">
        <f aca="true">IF(OR(B326="",E326="",C326="Done",C326="Cancelled"),"",E326-TODAY())</f>
        <v/>
      </c>
      <c r="G326" s="48" t="str">
        <f aca="true">IF(OR(B326="",C326="Done",C326="Cancelled"),"",IF(AND(E326&lt;&gt;"",E326&lt;TODAY()),"OVERDUE",IF(AND(E326&lt;&gt;"",E326=TODAY()),"DUE TODAY",IF(AND(K326&lt;&gt;"",K326&lt;=TODAY()),"FOLLOW UP",IF(AND(E326&lt;&gt;"",E326&lt;=TODAY()+3),"DUE SOON",IF(E326="","NO DUE DATE",""))))))</f>
        <v/>
      </c>
      <c r="H326" s="45"/>
      <c r="I326" s="46"/>
      <c r="J326" s="45"/>
      <c r="K326" s="47"/>
      <c r="L326" s="47"/>
      <c r="M326" s="47"/>
      <c r="N326" s="45"/>
    </row>
    <row r="327" customFormat="false" ht="18" hidden="false" customHeight="true" outlineLevel="0" collapsed="false">
      <c r="A327" s="44" t="str">
        <f aca="false">IF(B327="","",ROW()-4)</f>
        <v/>
      </c>
      <c r="B327" s="45"/>
      <c r="C327" s="46"/>
      <c r="D327" s="46"/>
      <c r="E327" s="47"/>
      <c r="F327" s="44" t="str">
        <f aca="true">IF(OR(B327="",E327="",C327="Done",C327="Cancelled"),"",E327-TODAY())</f>
        <v/>
      </c>
      <c r="G327" s="48" t="str">
        <f aca="true">IF(OR(B327="",C327="Done",C327="Cancelled"),"",IF(AND(E327&lt;&gt;"",E327&lt;TODAY()),"OVERDUE",IF(AND(E327&lt;&gt;"",E327=TODAY()),"DUE TODAY",IF(AND(K327&lt;&gt;"",K327&lt;=TODAY()),"FOLLOW UP",IF(AND(E327&lt;&gt;"",E327&lt;=TODAY()+3),"DUE SOON",IF(E327="","NO DUE DATE",""))))))</f>
        <v/>
      </c>
      <c r="H327" s="45"/>
      <c r="I327" s="46"/>
      <c r="J327" s="45"/>
      <c r="K327" s="47"/>
      <c r="L327" s="47"/>
      <c r="M327" s="47"/>
      <c r="N327" s="45"/>
    </row>
    <row r="328" customFormat="false" ht="18" hidden="false" customHeight="true" outlineLevel="0" collapsed="false">
      <c r="A328" s="44" t="str">
        <f aca="false">IF(B328="","",ROW()-4)</f>
        <v/>
      </c>
      <c r="B328" s="45"/>
      <c r="C328" s="46"/>
      <c r="D328" s="46"/>
      <c r="E328" s="47"/>
      <c r="F328" s="44" t="str">
        <f aca="true">IF(OR(B328="",E328="",C328="Done",C328="Cancelled"),"",E328-TODAY())</f>
        <v/>
      </c>
      <c r="G328" s="48" t="str">
        <f aca="true">IF(OR(B328="",C328="Done",C328="Cancelled"),"",IF(AND(E328&lt;&gt;"",E328&lt;TODAY()),"OVERDUE",IF(AND(E328&lt;&gt;"",E328=TODAY()),"DUE TODAY",IF(AND(K328&lt;&gt;"",K328&lt;=TODAY()),"FOLLOW UP",IF(AND(E328&lt;&gt;"",E328&lt;=TODAY()+3),"DUE SOON",IF(E328="","NO DUE DATE",""))))))</f>
        <v/>
      </c>
      <c r="H328" s="45"/>
      <c r="I328" s="46"/>
      <c r="J328" s="45"/>
      <c r="K328" s="47"/>
      <c r="L328" s="47"/>
      <c r="M328" s="47"/>
      <c r="N328" s="45"/>
    </row>
    <row r="329" customFormat="false" ht="18" hidden="false" customHeight="true" outlineLevel="0" collapsed="false">
      <c r="A329" s="44" t="str">
        <f aca="false">IF(B329="","",ROW()-4)</f>
        <v/>
      </c>
      <c r="B329" s="45"/>
      <c r="C329" s="46"/>
      <c r="D329" s="46"/>
      <c r="E329" s="47"/>
      <c r="F329" s="44" t="str">
        <f aca="true">IF(OR(B329="",E329="",C329="Done",C329="Cancelled"),"",E329-TODAY())</f>
        <v/>
      </c>
      <c r="G329" s="48" t="str">
        <f aca="true">IF(OR(B329="",C329="Done",C329="Cancelled"),"",IF(AND(E329&lt;&gt;"",E329&lt;TODAY()),"OVERDUE",IF(AND(E329&lt;&gt;"",E329=TODAY()),"DUE TODAY",IF(AND(K329&lt;&gt;"",K329&lt;=TODAY()),"FOLLOW UP",IF(AND(E329&lt;&gt;"",E329&lt;=TODAY()+3),"DUE SOON",IF(E329="","NO DUE DATE",""))))))</f>
        <v/>
      </c>
      <c r="H329" s="45"/>
      <c r="I329" s="46"/>
      <c r="J329" s="45"/>
      <c r="K329" s="47"/>
      <c r="L329" s="47"/>
      <c r="M329" s="47"/>
      <c r="N329" s="45"/>
    </row>
    <row r="330" customFormat="false" ht="18" hidden="false" customHeight="true" outlineLevel="0" collapsed="false">
      <c r="A330" s="44" t="str">
        <f aca="false">IF(B330="","",ROW()-4)</f>
        <v/>
      </c>
      <c r="B330" s="45"/>
      <c r="C330" s="46"/>
      <c r="D330" s="46"/>
      <c r="E330" s="47"/>
      <c r="F330" s="44" t="str">
        <f aca="true">IF(OR(B330="",E330="",C330="Done",C330="Cancelled"),"",E330-TODAY())</f>
        <v/>
      </c>
      <c r="G330" s="48" t="str">
        <f aca="true">IF(OR(B330="",C330="Done",C330="Cancelled"),"",IF(AND(E330&lt;&gt;"",E330&lt;TODAY()),"OVERDUE",IF(AND(E330&lt;&gt;"",E330=TODAY()),"DUE TODAY",IF(AND(K330&lt;&gt;"",K330&lt;=TODAY()),"FOLLOW UP",IF(AND(E330&lt;&gt;"",E330&lt;=TODAY()+3),"DUE SOON",IF(E330="","NO DUE DATE",""))))))</f>
        <v/>
      </c>
      <c r="H330" s="45"/>
      <c r="I330" s="46"/>
      <c r="J330" s="45"/>
      <c r="K330" s="47"/>
      <c r="L330" s="47"/>
      <c r="M330" s="47"/>
      <c r="N330" s="45"/>
    </row>
    <row r="331" customFormat="false" ht="18" hidden="false" customHeight="true" outlineLevel="0" collapsed="false">
      <c r="A331" s="44" t="str">
        <f aca="false">IF(B331="","",ROW()-4)</f>
        <v/>
      </c>
      <c r="B331" s="45"/>
      <c r="C331" s="46"/>
      <c r="D331" s="46"/>
      <c r="E331" s="47"/>
      <c r="F331" s="44" t="str">
        <f aca="true">IF(OR(B331="",E331="",C331="Done",C331="Cancelled"),"",E331-TODAY())</f>
        <v/>
      </c>
      <c r="G331" s="48" t="str">
        <f aca="true">IF(OR(B331="",C331="Done",C331="Cancelled"),"",IF(AND(E331&lt;&gt;"",E331&lt;TODAY()),"OVERDUE",IF(AND(E331&lt;&gt;"",E331=TODAY()),"DUE TODAY",IF(AND(K331&lt;&gt;"",K331&lt;=TODAY()),"FOLLOW UP",IF(AND(E331&lt;&gt;"",E331&lt;=TODAY()+3),"DUE SOON",IF(E331="","NO DUE DATE",""))))))</f>
        <v/>
      </c>
      <c r="H331" s="45"/>
      <c r="I331" s="46"/>
      <c r="J331" s="45"/>
      <c r="K331" s="47"/>
      <c r="L331" s="47"/>
      <c r="M331" s="47"/>
      <c r="N331" s="45"/>
    </row>
    <row r="332" customFormat="false" ht="18" hidden="false" customHeight="true" outlineLevel="0" collapsed="false">
      <c r="A332" s="44" t="str">
        <f aca="false">IF(B332="","",ROW()-4)</f>
        <v/>
      </c>
      <c r="B332" s="45"/>
      <c r="C332" s="46"/>
      <c r="D332" s="46"/>
      <c r="E332" s="47"/>
      <c r="F332" s="44" t="str">
        <f aca="true">IF(OR(B332="",E332="",C332="Done",C332="Cancelled"),"",E332-TODAY())</f>
        <v/>
      </c>
      <c r="G332" s="48" t="str">
        <f aca="true">IF(OR(B332="",C332="Done",C332="Cancelled"),"",IF(AND(E332&lt;&gt;"",E332&lt;TODAY()),"OVERDUE",IF(AND(E332&lt;&gt;"",E332=TODAY()),"DUE TODAY",IF(AND(K332&lt;&gt;"",K332&lt;=TODAY()),"FOLLOW UP",IF(AND(E332&lt;&gt;"",E332&lt;=TODAY()+3),"DUE SOON",IF(E332="","NO DUE DATE",""))))))</f>
        <v/>
      </c>
      <c r="H332" s="45"/>
      <c r="I332" s="46"/>
      <c r="J332" s="45"/>
      <c r="K332" s="47"/>
      <c r="L332" s="47"/>
      <c r="M332" s="47"/>
      <c r="N332" s="45"/>
    </row>
    <row r="333" customFormat="false" ht="18" hidden="false" customHeight="true" outlineLevel="0" collapsed="false">
      <c r="A333" s="44" t="str">
        <f aca="false">IF(B333="","",ROW()-4)</f>
        <v/>
      </c>
      <c r="B333" s="45"/>
      <c r="C333" s="46"/>
      <c r="D333" s="46"/>
      <c r="E333" s="47"/>
      <c r="F333" s="44" t="str">
        <f aca="true">IF(OR(B333="",E333="",C333="Done",C333="Cancelled"),"",E333-TODAY())</f>
        <v/>
      </c>
      <c r="G333" s="48" t="str">
        <f aca="true">IF(OR(B333="",C333="Done",C333="Cancelled"),"",IF(AND(E333&lt;&gt;"",E333&lt;TODAY()),"OVERDUE",IF(AND(E333&lt;&gt;"",E333=TODAY()),"DUE TODAY",IF(AND(K333&lt;&gt;"",K333&lt;=TODAY()),"FOLLOW UP",IF(AND(E333&lt;&gt;"",E333&lt;=TODAY()+3),"DUE SOON",IF(E333="","NO DUE DATE",""))))))</f>
        <v/>
      </c>
      <c r="H333" s="45"/>
      <c r="I333" s="46"/>
      <c r="J333" s="45"/>
      <c r="K333" s="47"/>
      <c r="L333" s="47"/>
      <c r="M333" s="47"/>
      <c r="N333" s="45"/>
    </row>
    <row r="334" customFormat="false" ht="18" hidden="false" customHeight="true" outlineLevel="0" collapsed="false">
      <c r="A334" s="44" t="str">
        <f aca="false">IF(B334="","",ROW()-4)</f>
        <v/>
      </c>
      <c r="B334" s="45"/>
      <c r="C334" s="46"/>
      <c r="D334" s="46"/>
      <c r="E334" s="47"/>
      <c r="F334" s="44" t="str">
        <f aca="true">IF(OR(B334="",E334="",C334="Done",C334="Cancelled"),"",E334-TODAY())</f>
        <v/>
      </c>
      <c r="G334" s="48" t="str">
        <f aca="true">IF(OR(B334="",C334="Done",C334="Cancelled"),"",IF(AND(E334&lt;&gt;"",E334&lt;TODAY()),"OVERDUE",IF(AND(E334&lt;&gt;"",E334=TODAY()),"DUE TODAY",IF(AND(K334&lt;&gt;"",K334&lt;=TODAY()),"FOLLOW UP",IF(AND(E334&lt;&gt;"",E334&lt;=TODAY()+3),"DUE SOON",IF(E334="","NO DUE DATE",""))))))</f>
        <v/>
      </c>
      <c r="H334" s="45"/>
      <c r="I334" s="46"/>
      <c r="J334" s="45"/>
      <c r="K334" s="47"/>
      <c r="L334" s="47"/>
      <c r="M334" s="47"/>
      <c r="N334" s="45"/>
    </row>
    <row r="335" customFormat="false" ht="18" hidden="false" customHeight="true" outlineLevel="0" collapsed="false">
      <c r="A335" s="44" t="str">
        <f aca="false">IF(B335="","",ROW()-4)</f>
        <v/>
      </c>
      <c r="B335" s="45"/>
      <c r="C335" s="46"/>
      <c r="D335" s="46"/>
      <c r="E335" s="47"/>
      <c r="F335" s="44" t="str">
        <f aca="true">IF(OR(B335="",E335="",C335="Done",C335="Cancelled"),"",E335-TODAY())</f>
        <v/>
      </c>
      <c r="G335" s="48" t="str">
        <f aca="true">IF(OR(B335="",C335="Done",C335="Cancelled"),"",IF(AND(E335&lt;&gt;"",E335&lt;TODAY()),"OVERDUE",IF(AND(E335&lt;&gt;"",E335=TODAY()),"DUE TODAY",IF(AND(K335&lt;&gt;"",K335&lt;=TODAY()),"FOLLOW UP",IF(AND(E335&lt;&gt;"",E335&lt;=TODAY()+3),"DUE SOON",IF(E335="","NO DUE DATE",""))))))</f>
        <v/>
      </c>
      <c r="H335" s="45"/>
      <c r="I335" s="46"/>
      <c r="J335" s="45"/>
      <c r="K335" s="47"/>
      <c r="L335" s="47"/>
      <c r="M335" s="47"/>
      <c r="N335" s="45"/>
    </row>
    <row r="336" customFormat="false" ht="18" hidden="false" customHeight="true" outlineLevel="0" collapsed="false">
      <c r="A336" s="44" t="str">
        <f aca="false">IF(B336="","",ROW()-4)</f>
        <v/>
      </c>
      <c r="B336" s="45"/>
      <c r="C336" s="46"/>
      <c r="D336" s="46"/>
      <c r="E336" s="47"/>
      <c r="F336" s="44" t="str">
        <f aca="true">IF(OR(B336="",E336="",C336="Done",C336="Cancelled"),"",E336-TODAY())</f>
        <v/>
      </c>
      <c r="G336" s="48" t="str">
        <f aca="true">IF(OR(B336="",C336="Done",C336="Cancelled"),"",IF(AND(E336&lt;&gt;"",E336&lt;TODAY()),"OVERDUE",IF(AND(E336&lt;&gt;"",E336=TODAY()),"DUE TODAY",IF(AND(K336&lt;&gt;"",K336&lt;=TODAY()),"FOLLOW UP",IF(AND(E336&lt;&gt;"",E336&lt;=TODAY()+3),"DUE SOON",IF(E336="","NO DUE DATE",""))))))</f>
        <v/>
      </c>
      <c r="H336" s="45"/>
      <c r="I336" s="46"/>
      <c r="J336" s="45"/>
      <c r="K336" s="47"/>
      <c r="L336" s="47"/>
      <c r="M336" s="47"/>
      <c r="N336" s="45"/>
    </row>
    <row r="337" customFormat="false" ht="18" hidden="false" customHeight="true" outlineLevel="0" collapsed="false">
      <c r="A337" s="44" t="str">
        <f aca="false">IF(B337="","",ROW()-4)</f>
        <v/>
      </c>
      <c r="B337" s="45"/>
      <c r="C337" s="46"/>
      <c r="D337" s="46"/>
      <c r="E337" s="47"/>
      <c r="F337" s="44" t="str">
        <f aca="true">IF(OR(B337="",E337="",C337="Done",C337="Cancelled"),"",E337-TODAY())</f>
        <v/>
      </c>
      <c r="G337" s="48" t="str">
        <f aca="true">IF(OR(B337="",C337="Done",C337="Cancelled"),"",IF(AND(E337&lt;&gt;"",E337&lt;TODAY()),"OVERDUE",IF(AND(E337&lt;&gt;"",E337=TODAY()),"DUE TODAY",IF(AND(K337&lt;&gt;"",K337&lt;=TODAY()),"FOLLOW UP",IF(AND(E337&lt;&gt;"",E337&lt;=TODAY()+3),"DUE SOON",IF(E337="","NO DUE DATE",""))))))</f>
        <v/>
      </c>
      <c r="H337" s="45"/>
      <c r="I337" s="46"/>
      <c r="J337" s="45"/>
      <c r="K337" s="47"/>
      <c r="L337" s="47"/>
      <c r="M337" s="47"/>
      <c r="N337" s="45"/>
    </row>
    <row r="338" customFormat="false" ht="18" hidden="false" customHeight="true" outlineLevel="0" collapsed="false">
      <c r="A338" s="44" t="str">
        <f aca="false">IF(B338="","",ROW()-4)</f>
        <v/>
      </c>
      <c r="B338" s="45"/>
      <c r="C338" s="46"/>
      <c r="D338" s="46"/>
      <c r="E338" s="47"/>
      <c r="F338" s="44" t="str">
        <f aca="true">IF(OR(B338="",E338="",C338="Done",C338="Cancelled"),"",E338-TODAY())</f>
        <v/>
      </c>
      <c r="G338" s="48" t="str">
        <f aca="true">IF(OR(B338="",C338="Done",C338="Cancelled"),"",IF(AND(E338&lt;&gt;"",E338&lt;TODAY()),"OVERDUE",IF(AND(E338&lt;&gt;"",E338=TODAY()),"DUE TODAY",IF(AND(K338&lt;&gt;"",K338&lt;=TODAY()),"FOLLOW UP",IF(AND(E338&lt;&gt;"",E338&lt;=TODAY()+3),"DUE SOON",IF(E338="","NO DUE DATE",""))))))</f>
        <v/>
      </c>
      <c r="H338" s="45"/>
      <c r="I338" s="46"/>
      <c r="J338" s="45"/>
      <c r="K338" s="47"/>
      <c r="L338" s="47"/>
      <c r="M338" s="47"/>
      <c r="N338" s="45"/>
    </row>
    <row r="339" customFormat="false" ht="18" hidden="false" customHeight="true" outlineLevel="0" collapsed="false">
      <c r="A339" s="44" t="str">
        <f aca="false">IF(B339="","",ROW()-4)</f>
        <v/>
      </c>
      <c r="B339" s="45"/>
      <c r="C339" s="46"/>
      <c r="D339" s="46"/>
      <c r="E339" s="47"/>
      <c r="F339" s="44" t="str">
        <f aca="true">IF(OR(B339="",E339="",C339="Done",C339="Cancelled"),"",E339-TODAY())</f>
        <v/>
      </c>
      <c r="G339" s="48" t="str">
        <f aca="true">IF(OR(B339="",C339="Done",C339="Cancelled"),"",IF(AND(E339&lt;&gt;"",E339&lt;TODAY()),"OVERDUE",IF(AND(E339&lt;&gt;"",E339=TODAY()),"DUE TODAY",IF(AND(K339&lt;&gt;"",K339&lt;=TODAY()),"FOLLOW UP",IF(AND(E339&lt;&gt;"",E339&lt;=TODAY()+3),"DUE SOON",IF(E339="","NO DUE DATE",""))))))</f>
        <v/>
      </c>
      <c r="H339" s="45"/>
      <c r="I339" s="46"/>
      <c r="J339" s="45"/>
      <c r="K339" s="47"/>
      <c r="L339" s="47"/>
      <c r="M339" s="47"/>
      <c r="N339" s="45"/>
    </row>
    <row r="340" customFormat="false" ht="18" hidden="false" customHeight="true" outlineLevel="0" collapsed="false">
      <c r="A340" s="44" t="str">
        <f aca="false">IF(B340="","",ROW()-4)</f>
        <v/>
      </c>
      <c r="B340" s="45"/>
      <c r="C340" s="46"/>
      <c r="D340" s="46"/>
      <c r="E340" s="47"/>
      <c r="F340" s="44" t="str">
        <f aca="true">IF(OR(B340="",E340="",C340="Done",C340="Cancelled"),"",E340-TODAY())</f>
        <v/>
      </c>
      <c r="G340" s="48" t="str">
        <f aca="true">IF(OR(B340="",C340="Done",C340="Cancelled"),"",IF(AND(E340&lt;&gt;"",E340&lt;TODAY()),"OVERDUE",IF(AND(E340&lt;&gt;"",E340=TODAY()),"DUE TODAY",IF(AND(K340&lt;&gt;"",K340&lt;=TODAY()),"FOLLOW UP",IF(AND(E340&lt;&gt;"",E340&lt;=TODAY()+3),"DUE SOON",IF(E340="","NO DUE DATE",""))))))</f>
        <v/>
      </c>
      <c r="H340" s="45"/>
      <c r="I340" s="46"/>
      <c r="J340" s="45"/>
      <c r="K340" s="47"/>
      <c r="L340" s="47"/>
      <c r="M340" s="47"/>
      <c r="N340" s="45"/>
    </row>
    <row r="341" customFormat="false" ht="18" hidden="false" customHeight="true" outlineLevel="0" collapsed="false">
      <c r="A341" s="44" t="str">
        <f aca="false">IF(B341="","",ROW()-4)</f>
        <v/>
      </c>
      <c r="B341" s="45"/>
      <c r="C341" s="46"/>
      <c r="D341" s="46"/>
      <c r="E341" s="47"/>
      <c r="F341" s="44" t="str">
        <f aca="true">IF(OR(B341="",E341="",C341="Done",C341="Cancelled"),"",E341-TODAY())</f>
        <v/>
      </c>
      <c r="G341" s="48" t="str">
        <f aca="true">IF(OR(B341="",C341="Done",C341="Cancelled"),"",IF(AND(E341&lt;&gt;"",E341&lt;TODAY()),"OVERDUE",IF(AND(E341&lt;&gt;"",E341=TODAY()),"DUE TODAY",IF(AND(K341&lt;&gt;"",K341&lt;=TODAY()),"FOLLOW UP",IF(AND(E341&lt;&gt;"",E341&lt;=TODAY()+3),"DUE SOON",IF(E341="","NO DUE DATE",""))))))</f>
        <v/>
      </c>
      <c r="H341" s="45"/>
      <c r="I341" s="46"/>
      <c r="J341" s="45"/>
      <c r="K341" s="47"/>
      <c r="L341" s="47"/>
      <c r="M341" s="47"/>
      <c r="N341" s="45"/>
    </row>
    <row r="342" customFormat="false" ht="18" hidden="false" customHeight="true" outlineLevel="0" collapsed="false">
      <c r="A342" s="44" t="str">
        <f aca="false">IF(B342="","",ROW()-4)</f>
        <v/>
      </c>
      <c r="B342" s="45"/>
      <c r="C342" s="46"/>
      <c r="D342" s="46"/>
      <c r="E342" s="47"/>
      <c r="F342" s="44" t="str">
        <f aca="true">IF(OR(B342="",E342="",C342="Done",C342="Cancelled"),"",E342-TODAY())</f>
        <v/>
      </c>
      <c r="G342" s="48" t="str">
        <f aca="true">IF(OR(B342="",C342="Done",C342="Cancelled"),"",IF(AND(E342&lt;&gt;"",E342&lt;TODAY()),"OVERDUE",IF(AND(E342&lt;&gt;"",E342=TODAY()),"DUE TODAY",IF(AND(K342&lt;&gt;"",K342&lt;=TODAY()),"FOLLOW UP",IF(AND(E342&lt;&gt;"",E342&lt;=TODAY()+3),"DUE SOON",IF(E342="","NO DUE DATE",""))))))</f>
        <v/>
      </c>
      <c r="H342" s="45"/>
      <c r="I342" s="46"/>
      <c r="J342" s="45"/>
      <c r="K342" s="47"/>
      <c r="L342" s="47"/>
      <c r="M342" s="47"/>
      <c r="N342" s="45"/>
    </row>
    <row r="343" customFormat="false" ht="18" hidden="false" customHeight="true" outlineLevel="0" collapsed="false">
      <c r="A343" s="44" t="str">
        <f aca="false">IF(B343="","",ROW()-4)</f>
        <v/>
      </c>
      <c r="B343" s="45"/>
      <c r="C343" s="46"/>
      <c r="D343" s="46"/>
      <c r="E343" s="47"/>
      <c r="F343" s="44" t="str">
        <f aca="true">IF(OR(B343="",E343="",C343="Done",C343="Cancelled"),"",E343-TODAY())</f>
        <v/>
      </c>
      <c r="G343" s="48" t="str">
        <f aca="true">IF(OR(B343="",C343="Done",C343="Cancelled"),"",IF(AND(E343&lt;&gt;"",E343&lt;TODAY()),"OVERDUE",IF(AND(E343&lt;&gt;"",E343=TODAY()),"DUE TODAY",IF(AND(K343&lt;&gt;"",K343&lt;=TODAY()),"FOLLOW UP",IF(AND(E343&lt;&gt;"",E343&lt;=TODAY()+3),"DUE SOON",IF(E343="","NO DUE DATE",""))))))</f>
        <v/>
      </c>
      <c r="H343" s="45"/>
      <c r="I343" s="46"/>
      <c r="J343" s="45"/>
      <c r="K343" s="47"/>
      <c r="L343" s="47"/>
      <c r="M343" s="47"/>
      <c r="N343" s="45"/>
    </row>
    <row r="344" customFormat="false" ht="18" hidden="false" customHeight="true" outlineLevel="0" collapsed="false">
      <c r="A344" s="44" t="str">
        <f aca="false">IF(B344="","",ROW()-4)</f>
        <v/>
      </c>
      <c r="B344" s="45"/>
      <c r="C344" s="46"/>
      <c r="D344" s="46"/>
      <c r="E344" s="47"/>
      <c r="F344" s="44" t="str">
        <f aca="true">IF(OR(B344="",E344="",C344="Done",C344="Cancelled"),"",E344-TODAY())</f>
        <v/>
      </c>
      <c r="G344" s="48" t="str">
        <f aca="true">IF(OR(B344="",C344="Done",C344="Cancelled"),"",IF(AND(E344&lt;&gt;"",E344&lt;TODAY()),"OVERDUE",IF(AND(E344&lt;&gt;"",E344=TODAY()),"DUE TODAY",IF(AND(K344&lt;&gt;"",K344&lt;=TODAY()),"FOLLOW UP",IF(AND(E344&lt;&gt;"",E344&lt;=TODAY()+3),"DUE SOON",IF(E344="","NO DUE DATE",""))))))</f>
        <v/>
      </c>
      <c r="H344" s="45"/>
      <c r="I344" s="46"/>
      <c r="J344" s="45"/>
      <c r="K344" s="47"/>
      <c r="L344" s="47"/>
      <c r="M344" s="47"/>
      <c r="N344" s="45"/>
    </row>
    <row r="345" customFormat="false" ht="18" hidden="false" customHeight="true" outlineLevel="0" collapsed="false">
      <c r="A345" s="44" t="str">
        <f aca="false">IF(B345="","",ROW()-4)</f>
        <v/>
      </c>
      <c r="B345" s="45"/>
      <c r="C345" s="46"/>
      <c r="D345" s="46"/>
      <c r="E345" s="47"/>
      <c r="F345" s="44" t="str">
        <f aca="true">IF(OR(B345="",E345="",C345="Done",C345="Cancelled"),"",E345-TODAY())</f>
        <v/>
      </c>
      <c r="G345" s="48" t="str">
        <f aca="true">IF(OR(B345="",C345="Done",C345="Cancelled"),"",IF(AND(E345&lt;&gt;"",E345&lt;TODAY()),"OVERDUE",IF(AND(E345&lt;&gt;"",E345=TODAY()),"DUE TODAY",IF(AND(K345&lt;&gt;"",K345&lt;=TODAY()),"FOLLOW UP",IF(AND(E345&lt;&gt;"",E345&lt;=TODAY()+3),"DUE SOON",IF(E345="","NO DUE DATE",""))))))</f>
        <v/>
      </c>
      <c r="H345" s="45"/>
      <c r="I345" s="46"/>
      <c r="J345" s="45"/>
      <c r="K345" s="47"/>
      <c r="L345" s="47"/>
      <c r="M345" s="47"/>
      <c r="N345" s="45"/>
    </row>
    <row r="346" customFormat="false" ht="18" hidden="false" customHeight="true" outlineLevel="0" collapsed="false">
      <c r="A346" s="44" t="str">
        <f aca="false">IF(B346="","",ROW()-4)</f>
        <v/>
      </c>
      <c r="B346" s="45"/>
      <c r="C346" s="46"/>
      <c r="D346" s="46"/>
      <c r="E346" s="47"/>
      <c r="F346" s="44" t="str">
        <f aca="true">IF(OR(B346="",E346="",C346="Done",C346="Cancelled"),"",E346-TODAY())</f>
        <v/>
      </c>
      <c r="G346" s="48" t="str">
        <f aca="true">IF(OR(B346="",C346="Done",C346="Cancelled"),"",IF(AND(E346&lt;&gt;"",E346&lt;TODAY()),"OVERDUE",IF(AND(E346&lt;&gt;"",E346=TODAY()),"DUE TODAY",IF(AND(K346&lt;&gt;"",K346&lt;=TODAY()),"FOLLOW UP",IF(AND(E346&lt;&gt;"",E346&lt;=TODAY()+3),"DUE SOON",IF(E346="","NO DUE DATE",""))))))</f>
        <v/>
      </c>
      <c r="H346" s="45"/>
      <c r="I346" s="46"/>
      <c r="J346" s="45"/>
      <c r="K346" s="47"/>
      <c r="L346" s="47"/>
      <c r="M346" s="47"/>
      <c r="N346" s="45"/>
    </row>
    <row r="347" customFormat="false" ht="18" hidden="false" customHeight="true" outlineLevel="0" collapsed="false">
      <c r="A347" s="44" t="str">
        <f aca="false">IF(B347="","",ROW()-4)</f>
        <v/>
      </c>
      <c r="B347" s="45"/>
      <c r="C347" s="46"/>
      <c r="D347" s="46"/>
      <c r="E347" s="47"/>
      <c r="F347" s="44" t="str">
        <f aca="true">IF(OR(B347="",E347="",C347="Done",C347="Cancelled"),"",E347-TODAY())</f>
        <v/>
      </c>
      <c r="G347" s="48" t="str">
        <f aca="true">IF(OR(B347="",C347="Done",C347="Cancelled"),"",IF(AND(E347&lt;&gt;"",E347&lt;TODAY()),"OVERDUE",IF(AND(E347&lt;&gt;"",E347=TODAY()),"DUE TODAY",IF(AND(K347&lt;&gt;"",K347&lt;=TODAY()),"FOLLOW UP",IF(AND(E347&lt;&gt;"",E347&lt;=TODAY()+3),"DUE SOON",IF(E347="","NO DUE DATE",""))))))</f>
        <v/>
      </c>
      <c r="H347" s="45"/>
      <c r="I347" s="46"/>
      <c r="J347" s="45"/>
      <c r="K347" s="47"/>
      <c r="L347" s="47"/>
      <c r="M347" s="47"/>
      <c r="N347" s="45"/>
    </row>
    <row r="348" customFormat="false" ht="18" hidden="false" customHeight="true" outlineLevel="0" collapsed="false">
      <c r="A348" s="44" t="str">
        <f aca="false">IF(B348="","",ROW()-4)</f>
        <v/>
      </c>
      <c r="B348" s="45"/>
      <c r="C348" s="46"/>
      <c r="D348" s="46"/>
      <c r="E348" s="47"/>
      <c r="F348" s="44" t="str">
        <f aca="true">IF(OR(B348="",E348="",C348="Done",C348="Cancelled"),"",E348-TODAY())</f>
        <v/>
      </c>
      <c r="G348" s="48" t="str">
        <f aca="true">IF(OR(B348="",C348="Done",C348="Cancelled"),"",IF(AND(E348&lt;&gt;"",E348&lt;TODAY()),"OVERDUE",IF(AND(E348&lt;&gt;"",E348=TODAY()),"DUE TODAY",IF(AND(K348&lt;&gt;"",K348&lt;=TODAY()),"FOLLOW UP",IF(AND(E348&lt;&gt;"",E348&lt;=TODAY()+3),"DUE SOON",IF(E348="","NO DUE DATE",""))))))</f>
        <v/>
      </c>
      <c r="H348" s="45"/>
      <c r="I348" s="46"/>
      <c r="J348" s="45"/>
      <c r="K348" s="47"/>
      <c r="L348" s="47"/>
      <c r="M348" s="47"/>
      <c r="N348" s="45"/>
    </row>
    <row r="349" customFormat="false" ht="18" hidden="false" customHeight="true" outlineLevel="0" collapsed="false">
      <c r="A349" s="44" t="str">
        <f aca="false">IF(B349="","",ROW()-4)</f>
        <v/>
      </c>
      <c r="B349" s="45"/>
      <c r="C349" s="46"/>
      <c r="D349" s="46"/>
      <c r="E349" s="47"/>
      <c r="F349" s="44" t="str">
        <f aca="true">IF(OR(B349="",E349="",C349="Done",C349="Cancelled"),"",E349-TODAY())</f>
        <v/>
      </c>
      <c r="G349" s="48" t="str">
        <f aca="true">IF(OR(B349="",C349="Done",C349="Cancelled"),"",IF(AND(E349&lt;&gt;"",E349&lt;TODAY()),"OVERDUE",IF(AND(E349&lt;&gt;"",E349=TODAY()),"DUE TODAY",IF(AND(K349&lt;&gt;"",K349&lt;=TODAY()),"FOLLOW UP",IF(AND(E349&lt;&gt;"",E349&lt;=TODAY()+3),"DUE SOON",IF(E349="","NO DUE DATE",""))))))</f>
        <v/>
      </c>
      <c r="H349" s="45"/>
      <c r="I349" s="46"/>
      <c r="J349" s="45"/>
      <c r="K349" s="47"/>
      <c r="L349" s="47"/>
      <c r="M349" s="47"/>
      <c r="N349" s="45"/>
    </row>
    <row r="350" customFormat="false" ht="18" hidden="false" customHeight="true" outlineLevel="0" collapsed="false">
      <c r="A350" s="44" t="str">
        <f aca="false">IF(B350="","",ROW()-4)</f>
        <v/>
      </c>
      <c r="B350" s="45"/>
      <c r="C350" s="46"/>
      <c r="D350" s="46"/>
      <c r="E350" s="47"/>
      <c r="F350" s="44" t="str">
        <f aca="true">IF(OR(B350="",E350="",C350="Done",C350="Cancelled"),"",E350-TODAY())</f>
        <v/>
      </c>
      <c r="G350" s="48" t="str">
        <f aca="true">IF(OR(B350="",C350="Done",C350="Cancelled"),"",IF(AND(E350&lt;&gt;"",E350&lt;TODAY()),"OVERDUE",IF(AND(E350&lt;&gt;"",E350=TODAY()),"DUE TODAY",IF(AND(K350&lt;&gt;"",K350&lt;=TODAY()),"FOLLOW UP",IF(AND(E350&lt;&gt;"",E350&lt;=TODAY()+3),"DUE SOON",IF(E350="","NO DUE DATE",""))))))</f>
        <v/>
      </c>
      <c r="H350" s="45"/>
      <c r="I350" s="46"/>
      <c r="J350" s="45"/>
      <c r="K350" s="47"/>
      <c r="L350" s="47"/>
      <c r="M350" s="47"/>
      <c r="N350" s="45"/>
    </row>
    <row r="351" customFormat="false" ht="18" hidden="false" customHeight="true" outlineLevel="0" collapsed="false">
      <c r="A351" s="44" t="str">
        <f aca="false">IF(B351="","",ROW()-4)</f>
        <v/>
      </c>
      <c r="B351" s="45"/>
      <c r="C351" s="46"/>
      <c r="D351" s="46"/>
      <c r="E351" s="47"/>
      <c r="F351" s="44" t="str">
        <f aca="true">IF(OR(B351="",E351="",C351="Done",C351="Cancelled"),"",E351-TODAY())</f>
        <v/>
      </c>
      <c r="G351" s="48" t="str">
        <f aca="true">IF(OR(B351="",C351="Done",C351="Cancelled"),"",IF(AND(E351&lt;&gt;"",E351&lt;TODAY()),"OVERDUE",IF(AND(E351&lt;&gt;"",E351=TODAY()),"DUE TODAY",IF(AND(K351&lt;&gt;"",K351&lt;=TODAY()),"FOLLOW UP",IF(AND(E351&lt;&gt;"",E351&lt;=TODAY()+3),"DUE SOON",IF(E351="","NO DUE DATE",""))))))</f>
        <v/>
      </c>
      <c r="H351" s="45"/>
      <c r="I351" s="46"/>
      <c r="J351" s="45"/>
      <c r="K351" s="47"/>
      <c r="L351" s="47"/>
      <c r="M351" s="47"/>
      <c r="N351" s="45"/>
    </row>
    <row r="352" customFormat="false" ht="18" hidden="false" customHeight="true" outlineLevel="0" collapsed="false">
      <c r="A352" s="44" t="str">
        <f aca="false">IF(B352="","",ROW()-4)</f>
        <v/>
      </c>
      <c r="B352" s="45"/>
      <c r="C352" s="46"/>
      <c r="D352" s="46"/>
      <c r="E352" s="47"/>
      <c r="F352" s="44" t="str">
        <f aca="true">IF(OR(B352="",E352="",C352="Done",C352="Cancelled"),"",E352-TODAY())</f>
        <v/>
      </c>
      <c r="G352" s="48" t="str">
        <f aca="true">IF(OR(B352="",C352="Done",C352="Cancelled"),"",IF(AND(E352&lt;&gt;"",E352&lt;TODAY()),"OVERDUE",IF(AND(E352&lt;&gt;"",E352=TODAY()),"DUE TODAY",IF(AND(K352&lt;&gt;"",K352&lt;=TODAY()),"FOLLOW UP",IF(AND(E352&lt;&gt;"",E352&lt;=TODAY()+3),"DUE SOON",IF(E352="","NO DUE DATE",""))))))</f>
        <v/>
      </c>
      <c r="H352" s="45"/>
      <c r="I352" s="46"/>
      <c r="J352" s="45"/>
      <c r="K352" s="47"/>
      <c r="L352" s="47"/>
      <c r="M352" s="47"/>
      <c r="N352" s="45"/>
    </row>
    <row r="353" customFormat="false" ht="18" hidden="false" customHeight="true" outlineLevel="0" collapsed="false">
      <c r="A353" s="44" t="str">
        <f aca="false">IF(B353="","",ROW()-4)</f>
        <v/>
      </c>
      <c r="B353" s="45"/>
      <c r="C353" s="46"/>
      <c r="D353" s="46"/>
      <c r="E353" s="47"/>
      <c r="F353" s="44" t="str">
        <f aca="true">IF(OR(B353="",E353="",C353="Done",C353="Cancelled"),"",E353-TODAY())</f>
        <v/>
      </c>
      <c r="G353" s="48" t="str">
        <f aca="true">IF(OR(B353="",C353="Done",C353="Cancelled"),"",IF(AND(E353&lt;&gt;"",E353&lt;TODAY()),"OVERDUE",IF(AND(E353&lt;&gt;"",E353=TODAY()),"DUE TODAY",IF(AND(K353&lt;&gt;"",K353&lt;=TODAY()),"FOLLOW UP",IF(AND(E353&lt;&gt;"",E353&lt;=TODAY()+3),"DUE SOON",IF(E353="","NO DUE DATE",""))))))</f>
        <v/>
      </c>
      <c r="H353" s="45"/>
      <c r="I353" s="46"/>
      <c r="J353" s="45"/>
      <c r="K353" s="47"/>
      <c r="L353" s="47"/>
      <c r="M353" s="47"/>
      <c r="N353" s="45"/>
    </row>
    <row r="354" customFormat="false" ht="18" hidden="false" customHeight="true" outlineLevel="0" collapsed="false">
      <c r="A354" s="44" t="str">
        <f aca="false">IF(B354="","",ROW()-4)</f>
        <v/>
      </c>
      <c r="B354" s="45"/>
      <c r="C354" s="46"/>
      <c r="D354" s="46"/>
      <c r="E354" s="47"/>
      <c r="F354" s="44" t="str">
        <f aca="true">IF(OR(B354="",E354="",C354="Done",C354="Cancelled"),"",E354-TODAY())</f>
        <v/>
      </c>
      <c r="G354" s="48" t="str">
        <f aca="true">IF(OR(B354="",C354="Done",C354="Cancelled"),"",IF(AND(E354&lt;&gt;"",E354&lt;TODAY()),"OVERDUE",IF(AND(E354&lt;&gt;"",E354=TODAY()),"DUE TODAY",IF(AND(K354&lt;&gt;"",K354&lt;=TODAY()),"FOLLOW UP",IF(AND(E354&lt;&gt;"",E354&lt;=TODAY()+3),"DUE SOON",IF(E354="","NO DUE DATE",""))))))</f>
        <v/>
      </c>
      <c r="H354" s="45"/>
      <c r="I354" s="46"/>
      <c r="J354" s="45"/>
      <c r="K354" s="47"/>
      <c r="L354" s="47"/>
      <c r="M354" s="47"/>
      <c r="N354" s="45"/>
    </row>
    <row r="355" customFormat="false" ht="18" hidden="false" customHeight="true" outlineLevel="0" collapsed="false">
      <c r="A355" s="44" t="str">
        <f aca="false">IF(B355="","",ROW()-4)</f>
        <v/>
      </c>
      <c r="B355" s="45"/>
      <c r="C355" s="46"/>
      <c r="D355" s="46"/>
      <c r="E355" s="47"/>
      <c r="F355" s="44" t="str">
        <f aca="true">IF(OR(B355="",E355="",C355="Done",C355="Cancelled"),"",E355-TODAY())</f>
        <v/>
      </c>
      <c r="G355" s="48" t="str">
        <f aca="true">IF(OR(B355="",C355="Done",C355="Cancelled"),"",IF(AND(E355&lt;&gt;"",E355&lt;TODAY()),"OVERDUE",IF(AND(E355&lt;&gt;"",E355=TODAY()),"DUE TODAY",IF(AND(K355&lt;&gt;"",K355&lt;=TODAY()),"FOLLOW UP",IF(AND(E355&lt;&gt;"",E355&lt;=TODAY()+3),"DUE SOON",IF(E355="","NO DUE DATE",""))))))</f>
        <v/>
      </c>
      <c r="H355" s="45"/>
      <c r="I355" s="46"/>
      <c r="J355" s="45"/>
      <c r="K355" s="47"/>
      <c r="L355" s="47"/>
      <c r="M355" s="47"/>
      <c r="N355" s="45"/>
    </row>
    <row r="356" customFormat="false" ht="18" hidden="false" customHeight="true" outlineLevel="0" collapsed="false">
      <c r="A356" s="44" t="str">
        <f aca="false">IF(B356="","",ROW()-4)</f>
        <v/>
      </c>
      <c r="B356" s="45"/>
      <c r="C356" s="46"/>
      <c r="D356" s="46"/>
      <c r="E356" s="47"/>
      <c r="F356" s="44" t="str">
        <f aca="true">IF(OR(B356="",E356="",C356="Done",C356="Cancelled"),"",E356-TODAY())</f>
        <v/>
      </c>
      <c r="G356" s="48" t="str">
        <f aca="true">IF(OR(B356="",C356="Done",C356="Cancelled"),"",IF(AND(E356&lt;&gt;"",E356&lt;TODAY()),"OVERDUE",IF(AND(E356&lt;&gt;"",E356=TODAY()),"DUE TODAY",IF(AND(K356&lt;&gt;"",K356&lt;=TODAY()),"FOLLOW UP",IF(AND(E356&lt;&gt;"",E356&lt;=TODAY()+3),"DUE SOON",IF(E356="","NO DUE DATE",""))))))</f>
        <v/>
      </c>
      <c r="H356" s="45"/>
      <c r="I356" s="46"/>
      <c r="J356" s="45"/>
      <c r="K356" s="47"/>
      <c r="L356" s="47"/>
      <c r="M356" s="47"/>
      <c r="N356" s="45"/>
    </row>
    <row r="357" customFormat="false" ht="18" hidden="false" customHeight="true" outlineLevel="0" collapsed="false">
      <c r="A357" s="44" t="str">
        <f aca="false">IF(B357="","",ROW()-4)</f>
        <v/>
      </c>
      <c r="B357" s="45"/>
      <c r="C357" s="46"/>
      <c r="D357" s="46"/>
      <c r="E357" s="47"/>
      <c r="F357" s="44" t="str">
        <f aca="true">IF(OR(B357="",E357="",C357="Done",C357="Cancelled"),"",E357-TODAY())</f>
        <v/>
      </c>
      <c r="G357" s="48" t="str">
        <f aca="true">IF(OR(B357="",C357="Done",C357="Cancelled"),"",IF(AND(E357&lt;&gt;"",E357&lt;TODAY()),"OVERDUE",IF(AND(E357&lt;&gt;"",E357=TODAY()),"DUE TODAY",IF(AND(K357&lt;&gt;"",K357&lt;=TODAY()),"FOLLOW UP",IF(AND(E357&lt;&gt;"",E357&lt;=TODAY()+3),"DUE SOON",IF(E357="","NO DUE DATE",""))))))</f>
        <v/>
      </c>
      <c r="H357" s="45"/>
      <c r="I357" s="46"/>
      <c r="J357" s="45"/>
      <c r="K357" s="47"/>
      <c r="L357" s="47"/>
      <c r="M357" s="47"/>
      <c r="N357" s="45"/>
    </row>
    <row r="358" customFormat="false" ht="18" hidden="false" customHeight="true" outlineLevel="0" collapsed="false">
      <c r="A358" s="44" t="str">
        <f aca="false">IF(B358="","",ROW()-4)</f>
        <v/>
      </c>
      <c r="B358" s="45"/>
      <c r="C358" s="46"/>
      <c r="D358" s="46"/>
      <c r="E358" s="47"/>
      <c r="F358" s="44" t="str">
        <f aca="true">IF(OR(B358="",E358="",C358="Done",C358="Cancelled"),"",E358-TODAY())</f>
        <v/>
      </c>
      <c r="G358" s="48" t="str">
        <f aca="true">IF(OR(B358="",C358="Done",C358="Cancelled"),"",IF(AND(E358&lt;&gt;"",E358&lt;TODAY()),"OVERDUE",IF(AND(E358&lt;&gt;"",E358=TODAY()),"DUE TODAY",IF(AND(K358&lt;&gt;"",K358&lt;=TODAY()),"FOLLOW UP",IF(AND(E358&lt;&gt;"",E358&lt;=TODAY()+3),"DUE SOON",IF(E358="","NO DUE DATE",""))))))</f>
        <v/>
      </c>
      <c r="H358" s="45"/>
      <c r="I358" s="46"/>
      <c r="J358" s="45"/>
      <c r="K358" s="47"/>
      <c r="L358" s="47"/>
      <c r="M358" s="47"/>
      <c r="N358" s="45"/>
    </row>
    <row r="359" customFormat="false" ht="18" hidden="false" customHeight="true" outlineLevel="0" collapsed="false">
      <c r="A359" s="44" t="str">
        <f aca="false">IF(B359="","",ROW()-4)</f>
        <v/>
      </c>
      <c r="B359" s="45"/>
      <c r="C359" s="46"/>
      <c r="D359" s="46"/>
      <c r="E359" s="47"/>
      <c r="F359" s="44" t="str">
        <f aca="true">IF(OR(B359="",E359="",C359="Done",C359="Cancelled"),"",E359-TODAY())</f>
        <v/>
      </c>
      <c r="G359" s="48" t="str">
        <f aca="true">IF(OR(B359="",C359="Done",C359="Cancelled"),"",IF(AND(E359&lt;&gt;"",E359&lt;TODAY()),"OVERDUE",IF(AND(E359&lt;&gt;"",E359=TODAY()),"DUE TODAY",IF(AND(K359&lt;&gt;"",K359&lt;=TODAY()),"FOLLOW UP",IF(AND(E359&lt;&gt;"",E359&lt;=TODAY()+3),"DUE SOON",IF(E359="","NO DUE DATE",""))))))</f>
        <v/>
      </c>
      <c r="H359" s="45"/>
      <c r="I359" s="46"/>
      <c r="J359" s="45"/>
      <c r="K359" s="47"/>
      <c r="L359" s="47"/>
      <c r="M359" s="47"/>
      <c r="N359" s="45"/>
    </row>
    <row r="360" customFormat="false" ht="18" hidden="false" customHeight="true" outlineLevel="0" collapsed="false">
      <c r="A360" s="44" t="str">
        <f aca="false">IF(B360="","",ROW()-4)</f>
        <v/>
      </c>
      <c r="B360" s="45"/>
      <c r="C360" s="46"/>
      <c r="D360" s="46"/>
      <c r="E360" s="47"/>
      <c r="F360" s="44" t="str">
        <f aca="true">IF(OR(B360="",E360="",C360="Done",C360="Cancelled"),"",E360-TODAY())</f>
        <v/>
      </c>
      <c r="G360" s="48" t="str">
        <f aca="true">IF(OR(B360="",C360="Done",C360="Cancelled"),"",IF(AND(E360&lt;&gt;"",E360&lt;TODAY()),"OVERDUE",IF(AND(E360&lt;&gt;"",E360=TODAY()),"DUE TODAY",IF(AND(K360&lt;&gt;"",K360&lt;=TODAY()),"FOLLOW UP",IF(AND(E360&lt;&gt;"",E360&lt;=TODAY()+3),"DUE SOON",IF(E360="","NO DUE DATE",""))))))</f>
        <v/>
      </c>
      <c r="H360" s="45"/>
      <c r="I360" s="46"/>
      <c r="J360" s="45"/>
      <c r="K360" s="47"/>
      <c r="L360" s="47"/>
      <c r="M360" s="47"/>
      <c r="N360" s="45"/>
    </row>
    <row r="361" customFormat="false" ht="18" hidden="false" customHeight="true" outlineLevel="0" collapsed="false">
      <c r="A361" s="44" t="str">
        <f aca="false">IF(B361="","",ROW()-4)</f>
        <v/>
      </c>
      <c r="B361" s="45"/>
      <c r="C361" s="46"/>
      <c r="D361" s="46"/>
      <c r="E361" s="47"/>
      <c r="F361" s="44" t="str">
        <f aca="true">IF(OR(B361="",E361="",C361="Done",C361="Cancelled"),"",E361-TODAY())</f>
        <v/>
      </c>
      <c r="G361" s="48" t="str">
        <f aca="true">IF(OR(B361="",C361="Done",C361="Cancelled"),"",IF(AND(E361&lt;&gt;"",E361&lt;TODAY()),"OVERDUE",IF(AND(E361&lt;&gt;"",E361=TODAY()),"DUE TODAY",IF(AND(K361&lt;&gt;"",K361&lt;=TODAY()),"FOLLOW UP",IF(AND(E361&lt;&gt;"",E361&lt;=TODAY()+3),"DUE SOON",IF(E361="","NO DUE DATE",""))))))</f>
        <v/>
      </c>
      <c r="H361" s="45"/>
      <c r="I361" s="46"/>
      <c r="J361" s="45"/>
      <c r="K361" s="47"/>
      <c r="L361" s="47"/>
      <c r="M361" s="47"/>
      <c r="N361" s="45"/>
    </row>
    <row r="362" customFormat="false" ht="18" hidden="false" customHeight="true" outlineLevel="0" collapsed="false">
      <c r="A362" s="44" t="str">
        <f aca="false">IF(B362="","",ROW()-4)</f>
        <v/>
      </c>
      <c r="B362" s="45"/>
      <c r="C362" s="46"/>
      <c r="D362" s="46"/>
      <c r="E362" s="47"/>
      <c r="F362" s="44" t="str">
        <f aca="true">IF(OR(B362="",E362="",C362="Done",C362="Cancelled"),"",E362-TODAY())</f>
        <v/>
      </c>
      <c r="G362" s="48" t="str">
        <f aca="true">IF(OR(B362="",C362="Done",C362="Cancelled"),"",IF(AND(E362&lt;&gt;"",E362&lt;TODAY()),"OVERDUE",IF(AND(E362&lt;&gt;"",E362=TODAY()),"DUE TODAY",IF(AND(K362&lt;&gt;"",K362&lt;=TODAY()),"FOLLOW UP",IF(AND(E362&lt;&gt;"",E362&lt;=TODAY()+3),"DUE SOON",IF(E362="","NO DUE DATE",""))))))</f>
        <v/>
      </c>
      <c r="H362" s="45"/>
      <c r="I362" s="46"/>
      <c r="J362" s="45"/>
      <c r="K362" s="47"/>
      <c r="L362" s="47"/>
      <c r="M362" s="47"/>
      <c r="N362" s="45"/>
    </row>
    <row r="363" customFormat="false" ht="18" hidden="false" customHeight="true" outlineLevel="0" collapsed="false">
      <c r="A363" s="44" t="str">
        <f aca="false">IF(B363="","",ROW()-4)</f>
        <v/>
      </c>
      <c r="B363" s="45"/>
      <c r="C363" s="46"/>
      <c r="D363" s="46"/>
      <c r="E363" s="47"/>
      <c r="F363" s="44" t="str">
        <f aca="true">IF(OR(B363="",E363="",C363="Done",C363="Cancelled"),"",E363-TODAY())</f>
        <v/>
      </c>
      <c r="G363" s="48" t="str">
        <f aca="true">IF(OR(B363="",C363="Done",C363="Cancelled"),"",IF(AND(E363&lt;&gt;"",E363&lt;TODAY()),"OVERDUE",IF(AND(E363&lt;&gt;"",E363=TODAY()),"DUE TODAY",IF(AND(K363&lt;&gt;"",K363&lt;=TODAY()),"FOLLOW UP",IF(AND(E363&lt;&gt;"",E363&lt;=TODAY()+3),"DUE SOON",IF(E363="","NO DUE DATE",""))))))</f>
        <v/>
      </c>
      <c r="H363" s="45"/>
      <c r="I363" s="46"/>
      <c r="J363" s="45"/>
      <c r="K363" s="47"/>
      <c r="L363" s="47"/>
      <c r="M363" s="47"/>
      <c r="N363" s="45"/>
    </row>
    <row r="364" customFormat="false" ht="18" hidden="false" customHeight="true" outlineLevel="0" collapsed="false">
      <c r="A364" s="44" t="str">
        <f aca="false">IF(B364="","",ROW()-4)</f>
        <v/>
      </c>
      <c r="B364" s="45"/>
      <c r="C364" s="46"/>
      <c r="D364" s="46"/>
      <c r="E364" s="47"/>
      <c r="F364" s="44" t="str">
        <f aca="true">IF(OR(B364="",E364="",C364="Done",C364="Cancelled"),"",E364-TODAY())</f>
        <v/>
      </c>
      <c r="G364" s="48" t="str">
        <f aca="true">IF(OR(B364="",C364="Done",C364="Cancelled"),"",IF(AND(E364&lt;&gt;"",E364&lt;TODAY()),"OVERDUE",IF(AND(E364&lt;&gt;"",E364=TODAY()),"DUE TODAY",IF(AND(K364&lt;&gt;"",K364&lt;=TODAY()),"FOLLOW UP",IF(AND(E364&lt;&gt;"",E364&lt;=TODAY()+3),"DUE SOON",IF(E364="","NO DUE DATE",""))))))</f>
        <v/>
      </c>
      <c r="H364" s="45"/>
      <c r="I364" s="46"/>
      <c r="J364" s="45"/>
      <c r="K364" s="47"/>
      <c r="L364" s="47"/>
      <c r="M364" s="47"/>
      <c r="N364" s="45"/>
    </row>
    <row r="365" customFormat="false" ht="18" hidden="false" customHeight="true" outlineLevel="0" collapsed="false">
      <c r="A365" s="44" t="str">
        <f aca="false">IF(B365="","",ROW()-4)</f>
        <v/>
      </c>
      <c r="B365" s="45"/>
      <c r="C365" s="46"/>
      <c r="D365" s="46"/>
      <c r="E365" s="47"/>
      <c r="F365" s="44" t="str">
        <f aca="true">IF(OR(B365="",E365="",C365="Done",C365="Cancelled"),"",E365-TODAY())</f>
        <v/>
      </c>
      <c r="G365" s="48" t="str">
        <f aca="true">IF(OR(B365="",C365="Done",C365="Cancelled"),"",IF(AND(E365&lt;&gt;"",E365&lt;TODAY()),"OVERDUE",IF(AND(E365&lt;&gt;"",E365=TODAY()),"DUE TODAY",IF(AND(K365&lt;&gt;"",K365&lt;=TODAY()),"FOLLOW UP",IF(AND(E365&lt;&gt;"",E365&lt;=TODAY()+3),"DUE SOON",IF(E365="","NO DUE DATE",""))))))</f>
        <v/>
      </c>
      <c r="H365" s="45"/>
      <c r="I365" s="46"/>
      <c r="J365" s="45"/>
      <c r="K365" s="47"/>
      <c r="L365" s="47"/>
      <c r="M365" s="47"/>
      <c r="N365" s="45"/>
    </row>
    <row r="366" customFormat="false" ht="18" hidden="false" customHeight="true" outlineLevel="0" collapsed="false">
      <c r="A366" s="44" t="str">
        <f aca="false">IF(B366="","",ROW()-4)</f>
        <v/>
      </c>
      <c r="B366" s="45"/>
      <c r="C366" s="46"/>
      <c r="D366" s="46"/>
      <c r="E366" s="47"/>
      <c r="F366" s="44" t="str">
        <f aca="true">IF(OR(B366="",E366="",C366="Done",C366="Cancelled"),"",E366-TODAY())</f>
        <v/>
      </c>
      <c r="G366" s="48" t="str">
        <f aca="true">IF(OR(B366="",C366="Done",C366="Cancelled"),"",IF(AND(E366&lt;&gt;"",E366&lt;TODAY()),"OVERDUE",IF(AND(E366&lt;&gt;"",E366=TODAY()),"DUE TODAY",IF(AND(K366&lt;&gt;"",K366&lt;=TODAY()),"FOLLOW UP",IF(AND(E366&lt;&gt;"",E366&lt;=TODAY()+3),"DUE SOON",IF(E366="","NO DUE DATE",""))))))</f>
        <v/>
      </c>
      <c r="H366" s="45"/>
      <c r="I366" s="46"/>
      <c r="J366" s="45"/>
      <c r="K366" s="47"/>
      <c r="L366" s="47"/>
      <c r="M366" s="47"/>
      <c r="N366" s="45"/>
    </row>
    <row r="367" customFormat="false" ht="18" hidden="false" customHeight="true" outlineLevel="0" collapsed="false">
      <c r="A367" s="44" t="str">
        <f aca="false">IF(B367="","",ROW()-4)</f>
        <v/>
      </c>
      <c r="B367" s="45"/>
      <c r="C367" s="46"/>
      <c r="D367" s="46"/>
      <c r="E367" s="47"/>
      <c r="F367" s="44" t="str">
        <f aca="true">IF(OR(B367="",E367="",C367="Done",C367="Cancelled"),"",E367-TODAY())</f>
        <v/>
      </c>
      <c r="G367" s="48" t="str">
        <f aca="true">IF(OR(B367="",C367="Done",C367="Cancelled"),"",IF(AND(E367&lt;&gt;"",E367&lt;TODAY()),"OVERDUE",IF(AND(E367&lt;&gt;"",E367=TODAY()),"DUE TODAY",IF(AND(K367&lt;&gt;"",K367&lt;=TODAY()),"FOLLOW UP",IF(AND(E367&lt;&gt;"",E367&lt;=TODAY()+3),"DUE SOON",IF(E367="","NO DUE DATE",""))))))</f>
        <v/>
      </c>
      <c r="H367" s="45"/>
      <c r="I367" s="46"/>
      <c r="J367" s="45"/>
      <c r="K367" s="47"/>
      <c r="L367" s="47"/>
      <c r="M367" s="47"/>
      <c r="N367" s="45"/>
    </row>
    <row r="368" customFormat="false" ht="18" hidden="false" customHeight="true" outlineLevel="0" collapsed="false">
      <c r="A368" s="44" t="str">
        <f aca="false">IF(B368="","",ROW()-4)</f>
        <v/>
      </c>
      <c r="B368" s="45"/>
      <c r="C368" s="46"/>
      <c r="D368" s="46"/>
      <c r="E368" s="47"/>
      <c r="F368" s="44" t="str">
        <f aca="true">IF(OR(B368="",E368="",C368="Done",C368="Cancelled"),"",E368-TODAY())</f>
        <v/>
      </c>
      <c r="G368" s="48" t="str">
        <f aca="true">IF(OR(B368="",C368="Done",C368="Cancelled"),"",IF(AND(E368&lt;&gt;"",E368&lt;TODAY()),"OVERDUE",IF(AND(E368&lt;&gt;"",E368=TODAY()),"DUE TODAY",IF(AND(K368&lt;&gt;"",K368&lt;=TODAY()),"FOLLOW UP",IF(AND(E368&lt;&gt;"",E368&lt;=TODAY()+3),"DUE SOON",IF(E368="","NO DUE DATE",""))))))</f>
        <v/>
      </c>
      <c r="H368" s="45"/>
      <c r="I368" s="46"/>
      <c r="J368" s="45"/>
      <c r="K368" s="47"/>
      <c r="L368" s="47"/>
      <c r="M368" s="47"/>
      <c r="N368" s="45"/>
    </row>
    <row r="369" customFormat="false" ht="18" hidden="false" customHeight="true" outlineLevel="0" collapsed="false">
      <c r="A369" s="44" t="str">
        <f aca="false">IF(B369="","",ROW()-4)</f>
        <v/>
      </c>
      <c r="B369" s="45"/>
      <c r="C369" s="46"/>
      <c r="D369" s="46"/>
      <c r="E369" s="47"/>
      <c r="F369" s="44" t="str">
        <f aca="true">IF(OR(B369="",E369="",C369="Done",C369="Cancelled"),"",E369-TODAY())</f>
        <v/>
      </c>
      <c r="G369" s="48" t="str">
        <f aca="true">IF(OR(B369="",C369="Done",C369="Cancelled"),"",IF(AND(E369&lt;&gt;"",E369&lt;TODAY()),"OVERDUE",IF(AND(E369&lt;&gt;"",E369=TODAY()),"DUE TODAY",IF(AND(K369&lt;&gt;"",K369&lt;=TODAY()),"FOLLOW UP",IF(AND(E369&lt;&gt;"",E369&lt;=TODAY()+3),"DUE SOON",IF(E369="","NO DUE DATE",""))))))</f>
        <v/>
      </c>
      <c r="H369" s="45"/>
      <c r="I369" s="46"/>
      <c r="J369" s="45"/>
      <c r="K369" s="47"/>
      <c r="L369" s="47"/>
      <c r="M369" s="47"/>
      <c r="N369" s="45"/>
    </row>
    <row r="370" customFormat="false" ht="18" hidden="false" customHeight="true" outlineLevel="0" collapsed="false">
      <c r="A370" s="44" t="str">
        <f aca="false">IF(B370="","",ROW()-4)</f>
        <v/>
      </c>
      <c r="B370" s="45"/>
      <c r="C370" s="46"/>
      <c r="D370" s="46"/>
      <c r="E370" s="47"/>
      <c r="F370" s="44" t="str">
        <f aca="true">IF(OR(B370="",E370="",C370="Done",C370="Cancelled"),"",E370-TODAY())</f>
        <v/>
      </c>
      <c r="G370" s="48" t="str">
        <f aca="true">IF(OR(B370="",C370="Done",C370="Cancelled"),"",IF(AND(E370&lt;&gt;"",E370&lt;TODAY()),"OVERDUE",IF(AND(E370&lt;&gt;"",E370=TODAY()),"DUE TODAY",IF(AND(K370&lt;&gt;"",K370&lt;=TODAY()),"FOLLOW UP",IF(AND(E370&lt;&gt;"",E370&lt;=TODAY()+3),"DUE SOON",IF(E370="","NO DUE DATE",""))))))</f>
        <v/>
      </c>
      <c r="H370" s="45"/>
      <c r="I370" s="46"/>
      <c r="J370" s="45"/>
      <c r="K370" s="47"/>
      <c r="L370" s="47"/>
      <c r="M370" s="47"/>
      <c r="N370" s="45"/>
    </row>
    <row r="371" customFormat="false" ht="18" hidden="false" customHeight="true" outlineLevel="0" collapsed="false">
      <c r="A371" s="44" t="str">
        <f aca="false">IF(B371="","",ROW()-4)</f>
        <v/>
      </c>
      <c r="B371" s="45"/>
      <c r="C371" s="46"/>
      <c r="D371" s="46"/>
      <c r="E371" s="47"/>
      <c r="F371" s="44" t="str">
        <f aca="true">IF(OR(B371="",E371="",C371="Done",C371="Cancelled"),"",E371-TODAY())</f>
        <v/>
      </c>
      <c r="G371" s="48" t="str">
        <f aca="true">IF(OR(B371="",C371="Done",C371="Cancelled"),"",IF(AND(E371&lt;&gt;"",E371&lt;TODAY()),"OVERDUE",IF(AND(E371&lt;&gt;"",E371=TODAY()),"DUE TODAY",IF(AND(K371&lt;&gt;"",K371&lt;=TODAY()),"FOLLOW UP",IF(AND(E371&lt;&gt;"",E371&lt;=TODAY()+3),"DUE SOON",IF(E371="","NO DUE DATE",""))))))</f>
        <v/>
      </c>
      <c r="H371" s="45"/>
      <c r="I371" s="46"/>
      <c r="J371" s="45"/>
      <c r="K371" s="47"/>
      <c r="L371" s="47"/>
      <c r="M371" s="47"/>
      <c r="N371" s="45"/>
    </row>
    <row r="372" customFormat="false" ht="18" hidden="false" customHeight="true" outlineLevel="0" collapsed="false">
      <c r="A372" s="44" t="str">
        <f aca="false">IF(B372="","",ROW()-4)</f>
        <v/>
      </c>
      <c r="B372" s="45"/>
      <c r="C372" s="46"/>
      <c r="D372" s="46"/>
      <c r="E372" s="47"/>
      <c r="F372" s="44" t="str">
        <f aca="true">IF(OR(B372="",E372="",C372="Done",C372="Cancelled"),"",E372-TODAY())</f>
        <v/>
      </c>
      <c r="G372" s="48" t="str">
        <f aca="true">IF(OR(B372="",C372="Done",C372="Cancelled"),"",IF(AND(E372&lt;&gt;"",E372&lt;TODAY()),"OVERDUE",IF(AND(E372&lt;&gt;"",E372=TODAY()),"DUE TODAY",IF(AND(K372&lt;&gt;"",K372&lt;=TODAY()),"FOLLOW UP",IF(AND(E372&lt;&gt;"",E372&lt;=TODAY()+3),"DUE SOON",IF(E372="","NO DUE DATE",""))))))</f>
        <v/>
      </c>
      <c r="H372" s="45"/>
      <c r="I372" s="46"/>
      <c r="J372" s="45"/>
      <c r="K372" s="47"/>
      <c r="L372" s="47"/>
      <c r="M372" s="47"/>
      <c r="N372" s="45"/>
    </row>
    <row r="373" customFormat="false" ht="18" hidden="false" customHeight="true" outlineLevel="0" collapsed="false">
      <c r="A373" s="44" t="str">
        <f aca="false">IF(B373="","",ROW()-4)</f>
        <v/>
      </c>
      <c r="B373" s="45"/>
      <c r="C373" s="46"/>
      <c r="D373" s="46"/>
      <c r="E373" s="47"/>
      <c r="F373" s="44" t="str">
        <f aca="true">IF(OR(B373="",E373="",C373="Done",C373="Cancelled"),"",E373-TODAY())</f>
        <v/>
      </c>
      <c r="G373" s="48" t="str">
        <f aca="true">IF(OR(B373="",C373="Done",C373="Cancelled"),"",IF(AND(E373&lt;&gt;"",E373&lt;TODAY()),"OVERDUE",IF(AND(E373&lt;&gt;"",E373=TODAY()),"DUE TODAY",IF(AND(K373&lt;&gt;"",K373&lt;=TODAY()),"FOLLOW UP",IF(AND(E373&lt;&gt;"",E373&lt;=TODAY()+3),"DUE SOON",IF(E373="","NO DUE DATE",""))))))</f>
        <v/>
      </c>
      <c r="H373" s="45"/>
      <c r="I373" s="46"/>
      <c r="J373" s="45"/>
      <c r="K373" s="47"/>
      <c r="L373" s="47"/>
      <c r="M373" s="47"/>
      <c r="N373" s="45"/>
    </row>
    <row r="374" customFormat="false" ht="18" hidden="false" customHeight="true" outlineLevel="0" collapsed="false">
      <c r="A374" s="44" t="str">
        <f aca="false">IF(B374="","",ROW()-4)</f>
        <v/>
      </c>
      <c r="B374" s="45"/>
      <c r="C374" s="46"/>
      <c r="D374" s="46"/>
      <c r="E374" s="47"/>
      <c r="F374" s="44" t="str">
        <f aca="true">IF(OR(B374="",E374="",C374="Done",C374="Cancelled"),"",E374-TODAY())</f>
        <v/>
      </c>
      <c r="G374" s="48" t="str">
        <f aca="true">IF(OR(B374="",C374="Done",C374="Cancelled"),"",IF(AND(E374&lt;&gt;"",E374&lt;TODAY()),"OVERDUE",IF(AND(E374&lt;&gt;"",E374=TODAY()),"DUE TODAY",IF(AND(K374&lt;&gt;"",K374&lt;=TODAY()),"FOLLOW UP",IF(AND(E374&lt;&gt;"",E374&lt;=TODAY()+3),"DUE SOON",IF(E374="","NO DUE DATE",""))))))</f>
        <v/>
      </c>
      <c r="H374" s="45"/>
      <c r="I374" s="46"/>
      <c r="J374" s="45"/>
      <c r="K374" s="47"/>
      <c r="L374" s="47"/>
      <c r="M374" s="47"/>
      <c r="N374" s="45"/>
    </row>
    <row r="375" customFormat="false" ht="18" hidden="false" customHeight="true" outlineLevel="0" collapsed="false">
      <c r="A375" s="44" t="str">
        <f aca="false">IF(B375="","",ROW()-4)</f>
        <v/>
      </c>
      <c r="B375" s="45"/>
      <c r="C375" s="46"/>
      <c r="D375" s="46"/>
      <c r="E375" s="47"/>
      <c r="F375" s="44" t="str">
        <f aca="true">IF(OR(B375="",E375="",C375="Done",C375="Cancelled"),"",E375-TODAY())</f>
        <v/>
      </c>
      <c r="G375" s="48" t="str">
        <f aca="true">IF(OR(B375="",C375="Done",C375="Cancelled"),"",IF(AND(E375&lt;&gt;"",E375&lt;TODAY()),"OVERDUE",IF(AND(E375&lt;&gt;"",E375=TODAY()),"DUE TODAY",IF(AND(K375&lt;&gt;"",K375&lt;=TODAY()),"FOLLOW UP",IF(AND(E375&lt;&gt;"",E375&lt;=TODAY()+3),"DUE SOON",IF(E375="","NO DUE DATE",""))))))</f>
        <v/>
      </c>
      <c r="H375" s="45"/>
      <c r="I375" s="46"/>
      <c r="J375" s="45"/>
      <c r="K375" s="47"/>
      <c r="L375" s="47"/>
      <c r="M375" s="47"/>
      <c r="N375" s="45"/>
    </row>
    <row r="376" customFormat="false" ht="18" hidden="false" customHeight="true" outlineLevel="0" collapsed="false">
      <c r="A376" s="44" t="str">
        <f aca="false">IF(B376="","",ROW()-4)</f>
        <v/>
      </c>
      <c r="B376" s="45"/>
      <c r="C376" s="46"/>
      <c r="D376" s="46"/>
      <c r="E376" s="47"/>
      <c r="F376" s="44" t="str">
        <f aca="true">IF(OR(B376="",E376="",C376="Done",C376="Cancelled"),"",E376-TODAY())</f>
        <v/>
      </c>
      <c r="G376" s="48" t="str">
        <f aca="true">IF(OR(B376="",C376="Done",C376="Cancelled"),"",IF(AND(E376&lt;&gt;"",E376&lt;TODAY()),"OVERDUE",IF(AND(E376&lt;&gt;"",E376=TODAY()),"DUE TODAY",IF(AND(K376&lt;&gt;"",K376&lt;=TODAY()),"FOLLOW UP",IF(AND(E376&lt;&gt;"",E376&lt;=TODAY()+3),"DUE SOON",IF(E376="","NO DUE DATE",""))))))</f>
        <v/>
      </c>
      <c r="H376" s="45"/>
      <c r="I376" s="46"/>
      <c r="J376" s="45"/>
      <c r="K376" s="47"/>
      <c r="L376" s="47"/>
      <c r="M376" s="47"/>
      <c r="N376" s="45"/>
    </row>
    <row r="377" customFormat="false" ht="18" hidden="false" customHeight="true" outlineLevel="0" collapsed="false">
      <c r="A377" s="44" t="str">
        <f aca="false">IF(B377="","",ROW()-4)</f>
        <v/>
      </c>
      <c r="B377" s="45"/>
      <c r="C377" s="46"/>
      <c r="D377" s="46"/>
      <c r="E377" s="47"/>
      <c r="F377" s="44" t="str">
        <f aca="true">IF(OR(B377="",E377="",C377="Done",C377="Cancelled"),"",E377-TODAY())</f>
        <v/>
      </c>
      <c r="G377" s="48" t="str">
        <f aca="true">IF(OR(B377="",C377="Done",C377="Cancelled"),"",IF(AND(E377&lt;&gt;"",E377&lt;TODAY()),"OVERDUE",IF(AND(E377&lt;&gt;"",E377=TODAY()),"DUE TODAY",IF(AND(K377&lt;&gt;"",K377&lt;=TODAY()),"FOLLOW UP",IF(AND(E377&lt;&gt;"",E377&lt;=TODAY()+3),"DUE SOON",IF(E377="","NO DUE DATE",""))))))</f>
        <v/>
      </c>
      <c r="H377" s="45"/>
      <c r="I377" s="46"/>
      <c r="J377" s="45"/>
      <c r="K377" s="47"/>
      <c r="L377" s="47"/>
      <c r="M377" s="47"/>
      <c r="N377" s="45"/>
    </row>
    <row r="378" customFormat="false" ht="18" hidden="false" customHeight="true" outlineLevel="0" collapsed="false">
      <c r="A378" s="44" t="str">
        <f aca="false">IF(B378="","",ROW()-4)</f>
        <v/>
      </c>
      <c r="B378" s="45"/>
      <c r="C378" s="46"/>
      <c r="D378" s="46"/>
      <c r="E378" s="47"/>
      <c r="F378" s="44" t="str">
        <f aca="true">IF(OR(B378="",E378="",C378="Done",C378="Cancelled"),"",E378-TODAY())</f>
        <v/>
      </c>
      <c r="G378" s="48" t="str">
        <f aca="true">IF(OR(B378="",C378="Done",C378="Cancelled"),"",IF(AND(E378&lt;&gt;"",E378&lt;TODAY()),"OVERDUE",IF(AND(E378&lt;&gt;"",E378=TODAY()),"DUE TODAY",IF(AND(K378&lt;&gt;"",K378&lt;=TODAY()),"FOLLOW UP",IF(AND(E378&lt;&gt;"",E378&lt;=TODAY()+3),"DUE SOON",IF(E378="","NO DUE DATE",""))))))</f>
        <v/>
      </c>
      <c r="H378" s="45"/>
      <c r="I378" s="46"/>
      <c r="J378" s="45"/>
      <c r="K378" s="47"/>
      <c r="L378" s="47"/>
      <c r="M378" s="47"/>
      <c r="N378" s="45"/>
    </row>
    <row r="379" customFormat="false" ht="18" hidden="false" customHeight="true" outlineLevel="0" collapsed="false">
      <c r="A379" s="44" t="str">
        <f aca="false">IF(B379="","",ROW()-4)</f>
        <v/>
      </c>
      <c r="B379" s="45"/>
      <c r="C379" s="46"/>
      <c r="D379" s="46"/>
      <c r="E379" s="47"/>
      <c r="F379" s="44" t="str">
        <f aca="true">IF(OR(B379="",E379="",C379="Done",C379="Cancelled"),"",E379-TODAY())</f>
        <v/>
      </c>
      <c r="G379" s="48" t="str">
        <f aca="true">IF(OR(B379="",C379="Done",C379="Cancelled"),"",IF(AND(E379&lt;&gt;"",E379&lt;TODAY()),"OVERDUE",IF(AND(E379&lt;&gt;"",E379=TODAY()),"DUE TODAY",IF(AND(K379&lt;&gt;"",K379&lt;=TODAY()),"FOLLOW UP",IF(AND(E379&lt;&gt;"",E379&lt;=TODAY()+3),"DUE SOON",IF(E379="","NO DUE DATE",""))))))</f>
        <v/>
      </c>
      <c r="H379" s="45"/>
      <c r="I379" s="46"/>
      <c r="J379" s="45"/>
      <c r="K379" s="47"/>
      <c r="L379" s="47"/>
      <c r="M379" s="47"/>
      <c r="N379" s="45"/>
    </row>
    <row r="380" customFormat="false" ht="18" hidden="false" customHeight="true" outlineLevel="0" collapsed="false">
      <c r="A380" s="44" t="str">
        <f aca="false">IF(B380="","",ROW()-4)</f>
        <v/>
      </c>
      <c r="B380" s="45"/>
      <c r="C380" s="46"/>
      <c r="D380" s="46"/>
      <c r="E380" s="47"/>
      <c r="F380" s="44" t="str">
        <f aca="true">IF(OR(B380="",E380="",C380="Done",C380="Cancelled"),"",E380-TODAY())</f>
        <v/>
      </c>
      <c r="G380" s="48" t="str">
        <f aca="true">IF(OR(B380="",C380="Done",C380="Cancelled"),"",IF(AND(E380&lt;&gt;"",E380&lt;TODAY()),"OVERDUE",IF(AND(E380&lt;&gt;"",E380=TODAY()),"DUE TODAY",IF(AND(K380&lt;&gt;"",K380&lt;=TODAY()),"FOLLOW UP",IF(AND(E380&lt;&gt;"",E380&lt;=TODAY()+3),"DUE SOON",IF(E380="","NO DUE DATE",""))))))</f>
        <v/>
      </c>
      <c r="H380" s="45"/>
      <c r="I380" s="46"/>
      <c r="J380" s="45"/>
      <c r="K380" s="47"/>
      <c r="L380" s="47"/>
      <c r="M380" s="47"/>
      <c r="N380" s="45"/>
    </row>
    <row r="381" customFormat="false" ht="18" hidden="false" customHeight="true" outlineLevel="0" collapsed="false">
      <c r="A381" s="44" t="str">
        <f aca="false">IF(B381="","",ROW()-4)</f>
        <v/>
      </c>
      <c r="B381" s="45"/>
      <c r="C381" s="46"/>
      <c r="D381" s="46"/>
      <c r="E381" s="47"/>
      <c r="F381" s="44" t="str">
        <f aca="true">IF(OR(B381="",E381="",C381="Done",C381="Cancelled"),"",E381-TODAY())</f>
        <v/>
      </c>
      <c r="G381" s="48" t="str">
        <f aca="true">IF(OR(B381="",C381="Done",C381="Cancelled"),"",IF(AND(E381&lt;&gt;"",E381&lt;TODAY()),"OVERDUE",IF(AND(E381&lt;&gt;"",E381=TODAY()),"DUE TODAY",IF(AND(K381&lt;&gt;"",K381&lt;=TODAY()),"FOLLOW UP",IF(AND(E381&lt;&gt;"",E381&lt;=TODAY()+3),"DUE SOON",IF(E381="","NO DUE DATE",""))))))</f>
        <v/>
      </c>
      <c r="H381" s="45"/>
      <c r="I381" s="46"/>
      <c r="J381" s="45"/>
      <c r="K381" s="47"/>
      <c r="L381" s="47"/>
      <c r="M381" s="47"/>
      <c r="N381" s="45"/>
    </row>
    <row r="382" customFormat="false" ht="18" hidden="false" customHeight="true" outlineLevel="0" collapsed="false">
      <c r="A382" s="44" t="str">
        <f aca="false">IF(B382="","",ROW()-4)</f>
        <v/>
      </c>
      <c r="B382" s="45"/>
      <c r="C382" s="46"/>
      <c r="D382" s="46"/>
      <c r="E382" s="47"/>
      <c r="F382" s="44" t="str">
        <f aca="true">IF(OR(B382="",E382="",C382="Done",C382="Cancelled"),"",E382-TODAY())</f>
        <v/>
      </c>
      <c r="G382" s="48" t="str">
        <f aca="true">IF(OR(B382="",C382="Done",C382="Cancelled"),"",IF(AND(E382&lt;&gt;"",E382&lt;TODAY()),"OVERDUE",IF(AND(E382&lt;&gt;"",E382=TODAY()),"DUE TODAY",IF(AND(K382&lt;&gt;"",K382&lt;=TODAY()),"FOLLOW UP",IF(AND(E382&lt;&gt;"",E382&lt;=TODAY()+3),"DUE SOON",IF(E382="","NO DUE DATE",""))))))</f>
        <v/>
      </c>
      <c r="H382" s="45"/>
      <c r="I382" s="46"/>
      <c r="J382" s="45"/>
      <c r="K382" s="47"/>
      <c r="L382" s="47"/>
      <c r="M382" s="47"/>
      <c r="N382" s="45"/>
    </row>
    <row r="383" customFormat="false" ht="18" hidden="false" customHeight="true" outlineLevel="0" collapsed="false">
      <c r="A383" s="44" t="str">
        <f aca="false">IF(B383="","",ROW()-4)</f>
        <v/>
      </c>
      <c r="B383" s="45"/>
      <c r="C383" s="46"/>
      <c r="D383" s="46"/>
      <c r="E383" s="47"/>
      <c r="F383" s="44" t="str">
        <f aca="true">IF(OR(B383="",E383="",C383="Done",C383="Cancelled"),"",E383-TODAY())</f>
        <v/>
      </c>
      <c r="G383" s="48" t="str">
        <f aca="true">IF(OR(B383="",C383="Done",C383="Cancelled"),"",IF(AND(E383&lt;&gt;"",E383&lt;TODAY()),"OVERDUE",IF(AND(E383&lt;&gt;"",E383=TODAY()),"DUE TODAY",IF(AND(K383&lt;&gt;"",K383&lt;=TODAY()),"FOLLOW UP",IF(AND(E383&lt;&gt;"",E383&lt;=TODAY()+3),"DUE SOON",IF(E383="","NO DUE DATE",""))))))</f>
        <v/>
      </c>
      <c r="H383" s="45"/>
      <c r="I383" s="46"/>
      <c r="J383" s="45"/>
      <c r="K383" s="47"/>
      <c r="L383" s="47"/>
      <c r="M383" s="47"/>
      <c r="N383" s="45"/>
    </row>
    <row r="384" customFormat="false" ht="18" hidden="false" customHeight="true" outlineLevel="0" collapsed="false">
      <c r="A384" s="44" t="str">
        <f aca="false">IF(B384="","",ROW()-4)</f>
        <v/>
      </c>
      <c r="B384" s="45"/>
      <c r="C384" s="46"/>
      <c r="D384" s="46"/>
      <c r="E384" s="47"/>
      <c r="F384" s="44" t="str">
        <f aca="true">IF(OR(B384="",E384="",C384="Done",C384="Cancelled"),"",E384-TODAY())</f>
        <v/>
      </c>
      <c r="G384" s="48" t="str">
        <f aca="true">IF(OR(B384="",C384="Done",C384="Cancelled"),"",IF(AND(E384&lt;&gt;"",E384&lt;TODAY()),"OVERDUE",IF(AND(E384&lt;&gt;"",E384=TODAY()),"DUE TODAY",IF(AND(K384&lt;&gt;"",K384&lt;=TODAY()),"FOLLOW UP",IF(AND(E384&lt;&gt;"",E384&lt;=TODAY()+3),"DUE SOON",IF(E384="","NO DUE DATE",""))))))</f>
        <v/>
      </c>
      <c r="H384" s="45"/>
      <c r="I384" s="46"/>
      <c r="J384" s="45"/>
      <c r="K384" s="47"/>
      <c r="L384" s="47"/>
      <c r="M384" s="47"/>
      <c r="N384" s="45"/>
    </row>
    <row r="385" customFormat="false" ht="18" hidden="false" customHeight="true" outlineLevel="0" collapsed="false">
      <c r="A385" s="44" t="str">
        <f aca="false">IF(B385="","",ROW()-4)</f>
        <v/>
      </c>
      <c r="B385" s="45"/>
      <c r="C385" s="46"/>
      <c r="D385" s="46"/>
      <c r="E385" s="47"/>
      <c r="F385" s="44" t="str">
        <f aca="true">IF(OR(B385="",E385="",C385="Done",C385="Cancelled"),"",E385-TODAY())</f>
        <v/>
      </c>
      <c r="G385" s="48" t="str">
        <f aca="true">IF(OR(B385="",C385="Done",C385="Cancelled"),"",IF(AND(E385&lt;&gt;"",E385&lt;TODAY()),"OVERDUE",IF(AND(E385&lt;&gt;"",E385=TODAY()),"DUE TODAY",IF(AND(K385&lt;&gt;"",K385&lt;=TODAY()),"FOLLOW UP",IF(AND(E385&lt;&gt;"",E385&lt;=TODAY()+3),"DUE SOON",IF(E385="","NO DUE DATE",""))))))</f>
        <v/>
      </c>
      <c r="H385" s="45"/>
      <c r="I385" s="46"/>
      <c r="J385" s="45"/>
      <c r="K385" s="47"/>
      <c r="L385" s="47"/>
      <c r="M385" s="47"/>
      <c r="N385" s="45"/>
    </row>
    <row r="386" customFormat="false" ht="18" hidden="false" customHeight="true" outlineLevel="0" collapsed="false">
      <c r="A386" s="44" t="str">
        <f aca="false">IF(B386="","",ROW()-4)</f>
        <v/>
      </c>
      <c r="B386" s="45"/>
      <c r="C386" s="46"/>
      <c r="D386" s="46"/>
      <c r="E386" s="47"/>
      <c r="F386" s="44" t="str">
        <f aca="true">IF(OR(B386="",E386="",C386="Done",C386="Cancelled"),"",E386-TODAY())</f>
        <v/>
      </c>
      <c r="G386" s="48" t="str">
        <f aca="true">IF(OR(B386="",C386="Done",C386="Cancelled"),"",IF(AND(E386&lt;&gt;"",E386&lt;TODAY()),"OVERDUE",IF(AND(E386&lt;&gt;"",E386=TODAY()),"DUE TODAY",IF(AND(K386&lt;&gt;"",K386&lt;=TODAY()),"FOLLOW UP",IF(AND(E386&lt;&gt;"",E386&lt;=TODAY()+3),"DUE SOON",IF(E386="","NO DUE DATE",""))))))</f>
        <v/>
      </c>
      <c r="H386" s="45"/>
      <c r="I386" s="46"/>
      <c r="J386" s="45"/>
      <c r="K386" s="47"/>
      <c r="L386" s="47"/>
      <c r="M386" s="47"/>
      <c r="N386" s="45"/>
    </row>
    <row r="387" customFormat="false" ht="18" hidden="false" customHeight="true" outlineLevel="0" collapsed="false">
      <c r="A387" s="44" t="str">
        <f aca="false">IF(B387="","",ROW()-4)</f>
        <v/>
      </c>
      <c r="B387" s="45"/>
      <c r="C387" s="46"/>
      <c r="D387" s="46"/>
      <c r="E387" s="47"/>
      <c r="F387" s="44" t="str">
        <f aca="true">IF(OR(B387="",E387="",C387="Done",C387="Cancelled"),"",E387-TODAY())</f>
        <v/>
      </c>
      <c r="G387" s="48" t="str">
        <f aca="true">IF(OR(B387="",C387="Done",C387="Cancelled"),"",IF(AND(E387&lt;&gt;"",E387&lt;TODAY()),"OVERDUE",IF(AND(E387&lt;&gt;"",E387=TODAY()),"DUE TODAY",IF(AND(K387&lt;&gt;"",K387&lt;=TODAY()),"FOLLOW UP",IF(AND(E387&lt;&gt;"",E387&lt;=TODAY()+3),"DUE SOON",IF(E387="","NO DUE DATE",""))))))</f>
        <v/>
      </c>
      <c r="H387" s="45"/>
      <c r="I387" s="46"/>
      <c r="J387" s="45"/>
      <c r="K387" s="47"/>
      <c r="L387" s="47"/>
      <c r="M387" s="47"/>
      <c r="N387" s="45"/>
    </row>
    <row r="388" customFormat="false" ht="18" hidden="false" customHeight="true" outlineLevel="0" collapsed="false">
      <c r="A388" s="44" t="str">
        <f aca="false">IF(B388="","",ROW()-4)</f>
        <v/>
      </c>
      <c r="B388" s="45"/>
      <c r="C388" s="46"/>
      <c r="D388" s="46"/>
      <c r="E388" s="47"/>
      <c r="F388" s="44" t="str">
        <f aca="true">IF(OR(B388="",E388="",C388="Done",C388="Cancelled"),"",E388-TODAY())</f>
        <v/>
      </c>
      <c r="G388" s="48" t="str">
        <f aca="true">IF(OR(B388="",C388="Done",C388="Cancelled"),"",IF(AND(E388&lt;&gt;"",E388&lt;TODAY()),"OVERDUE",IF(AND(E388&lt;&gt;"",E388=TODAY()),"DUE TODAY",IF(AND(K388&lt;&gt;"",K388&lt;=TODAY()),"FOLLOW UP",IF(AND(E388&lt;&gt;"",E388&lt;=TODAY()+3),"DUE SOON",IF(E388="","NO DUE DATE",""))))))</f>
        <v/>
      </c>
      <c r="H388" s="45"/>
      <c r="I388" s="46"/>
      <c r="J388" s="45"/>
      <c r="K388" s="47"/>
      <c r="L388" s="47"/>
      <c r="M388" s="47"/>
      <c r="N388" s="45"/>
    </row>
    <row r="389" customFormat="false" ht="18" hidden="false" customHeight="true" outlineLevel="0" collapsed="false">
      <c r="A389" s="44" t="str">
        <f aca="false">IF(B389="","",ROW()-4)</f>
        <v/>
      </c>
      <c r="B389" s="45"/>
      <c r="C389" s="46"/>
      <c r="D389" s="46"/>
      <c r="E389" s="47"/>
      <c r="F389" s="44" t="str">
        <f aca="true">IF(OR(B389="",E389="",C389="Done",C389="Cancelled"),"",E389-TODAY())</f>
        <v/>
      </c>
      <c r="G389" s="48" t="str">
        <f aca="true">IF(OR(B389="",C389="Done",C389="Cancelled"),"",IF(AND(E389&lt;&gt;"",E389&lt;TODAY()),"OVERDUE",IF(AND(E389&lt;&gt;"",E389=TODAY()),"DUE TODAY",IF(AND(K389&lt;&gt;"",K389&lt;=TODAY()),"FOLLOW UP",IF(AND(E389&lt;&gt;"",E389&lt;=TODAY()+3),"DUE SOON",IF(E389="","NO DUE DATE",""))))))</f>
        <v/>
      </c>
      <c r="H389" s="45"/>
      <c r="I389" s="46"/>
      <c r="J389" s="45"/>
      <c r="K389" s="47"/>
      <c r="L389" s="47"/>
      <c r="M389" s="47"/>
      <c r="N389" s="45"/>
    </row>
    <row r="390" customFormat="false" ht="18" hidden="false" customHeight="true" outlineLevel="0" collapsed="false">
      <c r="A390" s="44" t="str">
        <f aca="false">IF(B390="","",ROW()-4)</f>
        <v/>
      </c>
      <c r="B390" s="45"/>
      <c r="C390" s="46"/>
      <c r="D390" s="46"/>
      <c r="E390" s="47"/>
      <c r="F390" s="44" t="str">
        <f aca="true">IF(OR(B390="",E390="",C390="Done",C390="Cancelled"),"",E390-TODAY())</f>
        <v/>
      </c>
      <c r="G390" s="48" t="str">
        <f aca="true">IF(OR(B390="",C390="Done",C390="Cancelled"),"",IF(AND(E390&lt;&gt;"",E390&lt;TODAY()),"OVERDUE",IF(AND(E390&lt;&gt;"",E390=TODAY()),"DUE TODAY",IF(AND(K390&lt;&gt;"",K390&lt;=TODAY()),"FOLLOW UP",IF(AND(E390&lt;&gt;"",E390&lt;=TODAY()+3),"DUE SOON",IF(E390="","NO DUE DATE",""))))))</f>
        <v/>
      </c>
      <c r="H390" s="45"/>
      <c r="I390" s="46"/>
      <c r="J390" s="45"/>
      <c r="K390" s="47"/>
      <c r="L390" s="47"/>
      <c r="M390" s="47"/>
      <c r="N390" s="45"/>
    </row>
    <row r="391" customFormat="false" ht="18" hidden="false" customHeight="true" outlineLevel="0" collapsed="false">
      <c r="A391" s="44" t="str">
        <f aca="false">IF(B391="","",ROW()-4)</f>
        <v/>
      </c>
      <c r="B391" s="45"/>
      <c r="C391" s="46"/>
      <c r="D391" s="46"/>
      <c r="E391" s="47"/>
      <c r="F391" s="44" t="str">
        <f aca="true">IF(OR(B391="",E391="",C391="Done",C391="Cancelled"),"",E391-TODAY())</f>
        <v/>
      </c>
      <c r="G391" s="48" t="str">
        <f aca="true">IF(OR(B391="",C391="Done",C391="Cancelled"),"",IF(AND(E391&lt;&gt;"",E391&lt;TODAY()),"OVERDUE",IF(AND(E391&lt;&gt;"",E391=TODAY()),"DUE TODAY",IF(AND(K391&lt;&gt;"",K391&lt;=TODAY()),"FOLLOW UP",IF(AND(E391&lt;&gt;"",E391&lt;=TODAY()+3),"DUE SOON",IF(E391="","NO DUE DATE",""))))))</f>
        <v/>
      </c>
      <c r="H391" s="45"/>
      <c r="I391" s="46"/>
      <c r="J391" s="45"/>
      <c r="K391" s="47"/>
      <c r="L391" s="47"/>
      <c r="M391" s="47"/>
      <c r="N391" s="45"/>
    </row>
    <row r="392" customFormat="false" ht="18" hidden="false" customHeight="true" outlineLevel="0" collapsed="false">
      <c r="A392" s="44" t="str">
        <f aca="false">IF(B392="","",ROW()-4)</f>
        <v/>
      </c>
      <c r="B392" s="45"/>
      <c r="C392" s="46"/>
      <c r="D392" s="46"/>
      <c r="E392" s="47"/>
      <c r="F392" s="44" t="str">
        <f aca="true">IF(OR(B392="",E392="",C392="Done",C392="Cancelled"),"",E392-TODAY())</f>
        <v/>
      </c>
      <c r="G392" s="48" t="str">
        <f aca="true">IF(OR(B392="",C392="Done",C392="Cancelled"),"",IF(AND(E392&lt;&gt;"",E392&lt;TODAY()),"OVERDUE",IF(AND(E392&lt;&gt;"",E392=TODAY()),"DUE TODAY",IF(AND(K392&lt;&gt;"",K392&lt;=TODAY()),"FOLLOW UP",IF(AND(E392&lt;&gt;"",E392&lt;=TODAY()+3),"DUE SOON",IF(E392="","NO DUE DATE",""))))))</f>
        <v/>
      </c>
      <c r="H392" s="45"/>
      <c r="I392" s="46"/>
      <c r="J392" s="45"/>
      <c r="K392" s="47"/>
      <c r="L392" s="47"/>
      <c r="M392" s="47"/>
      <c r="N392" s="45"/>
    </row>
    <row r="393" customFormat="false" ht="18" hidden="false" customHeight="true" outlineLevel="0" collapsed="false">
      <c r="A393" s="44" t="str">
        <f aca="false">IF(B393="","",ROW()-4)</f>
        <v/>
      </c>
      <c r="B393" s="45"/>
      <c r="C393" s="46"/>
      <c r="D393" s="46"/>
      <c r="E393" s="47"/>
      <c r="F393" s="44" t="str">
        <f aca="true">IF(OR(B393="",E393="",C393="Done",C393="Cancelled"),"",E393-TODAY())</f>
        <v/>
      </c>
      <c r="G393" s="48" t="str">
        <f aca="true">IF(OR(B393="",C393="Done",C393="Cancelled"),"",IF(AND(E393&lt;&gt;"",E393&lt;TODAY()),"OVERDUE",IF(AND(E393&lt;&gt;"",E393=TODAY()),"DUE TODAY",IF(AND(K393&lt;&gt;"",K393&lt;=TODAY()),"FOLLOW UP",IF(AND(E393&lt;&gt;"",E393&lt;=TODAY()+3),"DUE SOON",IF(E393="","NO DUE DATE",""))))))</f>
        <v/>
      </c>
      <c r="H393" s="45"/>
      <c r="I393" s="46"/>
      <c r="J393" s="45"/>
      <c r="K393" s="47"/>
      <c r="L393" s="47"/>
      <c r="M393" s="47"/>
      <c r="N393" s="45"/>
    </row>
    <row r="394" customFormat="false" ht="18" hidden="false" customHeight="true" outlineLevel="0" collapsed="false">
      <c r="A394" s="44" t="str">
        <f aca="false">IF(B394="","",ROW()-4)</f>
        <v/>
      </c>
      <c r="B394" s="45"/>
      <c r="C394" s="46"/>
      <c r="D394" s="46"/>
      <c r="E394" s="47"/>
      <c r="F394" s="44" t="str">
        <f aca="true">IF(OR(B394="",E394="",C394="Done",C394="Cancelled"),"",E394-TODAY())</f>
        <v/>
      </c>
      <c r="G394" s="48" t="str">
        <f aca="true">IF(OR(B394="",C394="Done",C394="Cancelled"),"",IF(AND(E394&lt;&gt;"",E394&lt;TODAY()),"OVERDUE",IF(AND(E394&lt;&gt;"",E394=TODAY()),"DUE TODAY",IF(AND(K394&lt;&gt;"",K394&lt;=TODAY()),"FOLLOW UP",IF(AND(E394&lt;&gt;"",E394&lt;=TODAY()+3),"DUE SOON",IF(E394="","NO DUE DATE",""))))))</f>
        <v/>
      </c>
      <c r="H394" s="45"/>
      <c r="I394" s="46"/>
      <c r="J394" s="45"/>
      <c r="K394" s="47"/>
      <c r="L394" s="47"/>
      <c r="M394" s="47"/>
      <c r="N394" s="45"/>
    </row>
    <row r="395" customFormat="false" ht="18" hidden="false" customHeight="true" outlineLevel="0" collapsed="false">
      <c r="A395" s="44" t="str">
        <f aca="false">IF(B395="","",ROW()-4)</f>
        <v/>
      </c>
      <c r="B395" s="45"/>
      <c r="C395" s="46"/>
      <c r="D395" s="46"/>
      <c r="E395" s="47"/>
      <c r="F395" s="44" t="str">
        <f aca="true">IF(OR(B395="",E395="",C395="Done",C395="Cancelled"),"",E395-TODAY())</f>
        <v/>
      </c>
      <c r="G395" s="48" t="str">
        <f aca="true">IF(OR(B395="",C395="Done",C395="Cancelled"),"",IF(AND(E395&lt;&gt;"",E395&lt;TODAY()),"OVERDUE",IF(AND(E395&lt;&gt;"",E395=TODAY()),"DUE TODAY",IF(AND(K395&lt;&gt;"",K395&lt;=TODAY()),"FOLLOW UP",IF(AND(E395&lt;&gt;"",E395&lt;=TODAY()+3),"DUE SOON",IF(E395="","NO DUE DATE",""))))))</f>
        <v/>
      </c>
      <c r="H395" s="45"/>
      <c r="I395" s="46"/>
      <c r="J395" s="45"/>
      <c r="K395" s="47"/>
      <c r="L395" s="47"/>
      <c r="M395" s="47"/>
      <c r="N395" s="45"/>
    </row>
    <row r="396" customFormat="false" ht="18" hidden="false" customHeight="true" outlineLevel="0" collapsed="false">
      <c r="A396" s="44" t="str">
        <f aca="false">IF(B396="","",ROW()-4)</f>
        <v/>
      </c>
      <c r="B396" s="45"/>
      <c r="C396" s="46"/>
      <c r="D396" s="46"/>
      <c r="E396" s="47"/>
      <c r="F396" s="44" t="str">
        <f aca="true">IF(OR(B396="",E396="",C396="Done",C396="Cancelled"),"",E396-TODAY())</f>
        <v/>
      </c>
      <c r="G396" s="48" t="str">
        <f aca="true">IF(OR(B396="",C396="Done",C396="Cancelled"),"",IF(AND(E396&lt;&gt;"",E396&lt;TODAY()),"OVERDUE",IF(AND(E396&lt;&gt;"",E396=TODAY()),"DUE TODAY",IF(AND(K396&lt;&gt;"",K396&lt;=TODAY()),"FOLLOW UP",IF(AND(E396&lt;&gt;"",E396&lt;=TODAY()+3),"DUE SOON",IF(E396="","NO DUE DATE",""))))))</f>
        <v/>
      </c>
      <c r="H396" s="45"/>
      <c r="I396" s="46"/>
      <c r="J396" s="45"/>
      <c r="K396" s="47"/>
      <c r="L396" s="47"/>
      <c r="M396" s="47"/>
      <c r="N396" s="45"/>
    </row>
    <row r="397" customFormat="false" ht="18" hidden="false" customHeight="true" outlineLevel="0" collapsed="false">
      <c r="A397" s="44" t="str">
        <f aca="false">IF(B397="","",ROW()-4)</f>
        <v/>
      </c>
      <c r="B397" s="45"/>
      <c r="C397" s="46"/>
      <c r="D397" s="46"/>
      <c r="E397" s="47"/>
      <c r="F397" s="44" t="str">
        <f aca="true">IF(OR(B397="",E397="",C397="Done",C397="Cancelled"),"",E397-TODAY())</f>
        <v/>
      </c>
      <c r="G397" s="48" t="str">
        <f aca="true">IF(OR(B397="",C397="Done",C397="Cancelled"),"",IF(AND(E397&lt;&gt;"",E397&lt;TODAY()),"OVERDUE",IF(AND(E397&lt;&gt;"",E397=TODAY()),"DUE TODAY",IF(AND(K397&lt;&gt;"",K397&lt;=TODAY()),"FOLLOW UP",IF(AND(E397&lt;&gt;"",E397&lt;=TODAY()+3),"DUE SOON",IF(E397="","NO DUE DATE",""))))))</f>
        <v/>
      </c>
      <c r="H397" s="45"/>
      <c r="I397" s="46"/>
      <c r="J397" s="45"/>
      <c r="K397" s="47"/>
      <c r="L397" s="47"/>
      <c r="M397" s="47"/>
      <c r="N397" s="45"/>
    </row>
    <row r="398" customFormat="false" ht="18" hidden="false" customHeight="true" outlineLevel="0" collapsed="false">
      <c r="A398" s="44" t="str">
        <f aca="false">IF(B398="","",ROW()-4)</f>
        <v/>
      </c>
      <c r="B398" s="45"/>
      <c r="C398" s="46"/>
      <c r="D398" s="46"/>
      <c r="E398" s="47"/>
      <c r="F398" s="44" t="str">
        <f aca="true">IF(OR(B398="",E398="",C398="Done",C398="Cancelled"),"",E398-TODAY())</f>
        <v/>
      </c>
      <c r="G398" s="48" t="str">
        <f aca="true">IF(OR(B398="",C398="Done",C398="Cancelled"),"",IF(AND(E398&lt;&gt;"",E398&lt;TODAY()),"OVERDUE",IF(AND(E398&lt;&gt;"",E398=TODAY()),"DUE TODAY",IF(AND(K398&lt;&gt;"",K398&lt;=TODAY()),"FOLLOW UP",IF(AND(E398&lt;&gt;"",E398&lt;=TODAY()+3),"DUE SOON",IF(E398="","NO DUE DATE",""))))))</f>
        <v/>
      </c>
      <c r="H398" s="45"/>
      <c r="I398" s="46"/>
      <c r="J398" s="45"/>
      <c r="K398" s="47"/>
      <c r="L398" s="47"/>
      <c r="M398" s="47"/>
      <c r="N398" s="45"/>
    </row>
    <row r="399" customFormat="false" ht="18" hidden="false" customHeight="true" outlineLevel="0" collapsed="false">
      <c r="A399" s="44" t="str">
        <f aca="false">IF(B399="","",ROW()-4)</f>
        <v/>
      </c>
      <c r="B399" s="45"/>
      <c r="C399" s="46"/>
      <c r="D399" s="46"/>
      <c r="E399" s="47"/>
      <c r="F399" s="44" t="str">
        <f aca="true">IF(OR(B399="",E399="",C399="Done",C399="Cancelled"),"",E399-TODAY())</f>
        <v/>
      </c>
      <c r="G399" s="48" t="str">
        <f aca="true">IF(OR(B399="",C399="Done",C399="Cancelled"),"",IF(AND(E399&lt;&gt;"",E399&lt;TODAY()),"OVERDUE",IF(AND(E399&lt;&gt;"",E399=TODAY()),"DUE TODAY",IF(AND(K399&lt;&gt;"",K399&lt;=TODAY()),"FOLLOW UP",IF(AND(E399&lt;&gt;"",E399&lt;=TODAY()+3),"DUE SOON",IF(E399="","NO DUE DATE",""))))))</f>
        <v/>
      </c>
      <c r="H399" s="45"/>
      <c r="I399" s="46"/>
      <c r="J399" s="45"/>
      <c r="K399" s="47"/>
      <c r="L399" s="47"/>
      <c r="M399" s="47"/>
      <c r="N399" s="45"/>
    </row>
    <row r="400" customFormat="false" ht="18" hidden="false" customHeight="true" outlineLevel="0" collapsed="false">
      <c r="A400" s="44" t="str">
        <f aca="false">IF(B400="","",ROW()-4)</f>
        <v/>
      </c>
      <c r="B400" s="45"/>
      <c r="C400" s="46"/>
      <c r="D400" s="46"/>
      <c r="E400" s="47"/>
      <c r="F400" s="44" t="str">
        <f aca="true">IF(OR(B400="",E400="",C400="Done",C400="Cancelled"),"",E400-TODAY())</f>
        <v/>
      </c>
      <c r="G400" s="48" t="str">
        <f aca="true">IF(OR(B400="",C400="Done",C400="Cancelled"),"",IF(AND(E400&lt;&gt;"",E400&lt;TODAY()),"OVERDUE",IF(AND(E400&lt;&gt;"",E400=TODAY()),"DUE TODAY",IF(AND(K400&lt;&gt;"",K400&lt;=TODAY()),"FOLLOW UP",IF(AND(E400&lt;&gt;"",E400&lt;=TODAY()+3),"DUE SOON",IF(E400="","NO DUE DATE",""))))))</f>
        <v/>
      </c>
      <c r="H400" s="45"/>
      <c r="I400" s="46"/>
      <c r="J400" s="45"/>
      <c r="K400" s="47"/>
      <c r="L400" s="47"/>
      <c r="M400" s="47"/>
      <c r="N400" s="45"/>
    </row>
    <row r="401" customFormat="false" ht="18" hidden="false" customHeight="true" outlineLevel="0" collapsed="false">
      <c r="A401" s="44" t="str">
        <f aca="false">IF(B401="","",ROW()-4)</f>
        <v/>
      </c>
      <c r="B401" s="45"/>
      <c r="C401" s="46"/>
      <c r="D401" s="46"/>
      <c r="E401" s="47"/>
      <c r="F401" s="44" t="str">
        <f aca="true">IF(OR(B401="",E401="",C401="Done",C401="Cancelled"),"",E401-TODAY())</f>
        <v/>
      </c>
      <c r="G401" s="48" t="str">
        <f aca="true">IF(OR(B401="",C401="Done",C401="Cancelled"),"",IF(AND(E401&lt;&gt;"",E401&lt;TODAY()),"OVERDUE",IF(AND(E401&lt;&gt;"",E401=TODAY()),"DUE TODAY",IF(AND(K401&lt;&gt;"",K401&lt;=TODAY()),"FOLLOW UP",IF(AND(E401&lt;&gt;"",E401&lt;=TODAY()+3),"DUE SOON",IF(E401="","NO DUE DATE",""))))))</f>
        <v/>
      </c>
      <c r="H401" s="45"/>
      <c r="I401" s="46"/>
      <c r="J401" s="45"/>
      <c r="K401" s="47"/>
      <c r="L401" s="47"/>
      <c r="M401" s="47"/>
      <c r="N401" s="45"/>
    </row>
    <row r="402" customFormat="false" ht="18" hidden="false" customHeight="true" outlineLevel="0" collapsed="false">
      <c r="A402" s="44" t="str">
        <f aca="false">IF(B402="","",ROW()-4)</f>
        <v/>
      </c>
      <c r="B402" s="45"/>
      <c r="C402" s="46"/>
      <c r="D402" s="46"/>
      <c r="E402" s="47"/>
      <c r="F402" s="44" t="str">
        <f aca="true">IF(OR(B402="",E402="",C402="Done",C402="Cancelled"),"",E402-TODAY())</f>
        <v/>
      </c>
      <c r="G402" s="48" t="str">
        <f aca="true">IF(OR(B402="",C402="Done",C402="Cancelled"),"",IF(AND(E402&lt;&gt;"",E402&lt;TODAY()),"OVERDUE",IF(AND(E402&lt;&gt;"",E402=TODAY()),"DUE TODAY",IF(AND(K402&lt;&gt;"",K402&lt;=TODAY()),"FOLLOW UP",IF(AND(E402&lt;&gt;"",E402&lt;=TODAY()+3),"DUE SOON",IF(E402="","NO DUE DATE",""))))))</f>
        <v/>
      </c>
      <c r="H402" s="45"/>
      <c r="I402" s="46"/>
      <c r="J402" s="45"/>
      <c r="K402" s="47"/>
      <c r="L402" s="47"/>
      <c r="M402" s="47"/>
      <c r="N402" s="45"/>
    </row>
    <row r="403" customFormat="false" ht="18" hidden="false" customHeight="true" outlineLevel="0" collapsed="false">
      <c r="A403" s="44" t="str">
        <f aca="false">IF(B403="","",ROW()-4)</f>
        <v/>
      </c>
      <c r="B403" s="45"/>
      <c r="C403" s="46"/>
      <c r="D403" s="46"/>
      <c r="E403" s="47"/>
      <c r="F403" s="44" t="str">
        <f aca="true">IF(OR(B403="",E403="",C403="Done",C403="Cancelled"),"",E403-TODAY())</f>
        <v/>
      </c>
      <c r="G403" s="48" t="str">
        <f aca="true">IF(OR(B403="",C403="Done",C403="Cancelled"),"",IF(AND(E403&lt;&gt;"",E403&lt;TODAY()),"OVERDUE",IF(AND(E403&lt;&gt;"",E403=TODAY()),"DUE TODAY",IF(AND(K403&lt;&gt;"",K403&lt;=TODAY()),"FOLLOW UP",IF(AND(E403&lt;&gt;"",E403&lt;=TODAY()+3),"DUE SOON",IF(E403="","NO DUE DATE",""))))))</f>
        <v/>
      </c>
      <c r="H403" s="45"/>
      <c r="I403" s="46"/>
      <c r="J403" s="45"/>
      <c r="K403" s="47"/>
      <c r="L403" s="47"/>
      <c r="M403" s="47"/>
      <c r="N403" s="45"/>
    </row>
    <row r="404" customFormat="false" ht="18" hidden="false" customHeight="true" outlineLevel="0" collapsed="false">
      <c r="A404" s="44" t="str">
        <f aca="false">IF(B404="","",ROW()-4)</f>
        <v/>
      </c>
      <c r="B404" s="45"/>
      <c r="C404" s="46"/>
      <c r="D404" s="46"/>
      <c r="E404" s="47"/>
      <c r="F404" s="44" t="str">
        <f aca="true">IF(OR(B404="",E404="",C404="Done",C404="Cancelled"),"",E404-TODAY())</f>
        <v/>
      </c>
      <c r="G404" s="48" t="str">
        <f aca="true">IF(OR(B404="",C404="Done",C404="Cancelled"),"",IF(AND(E404&lt;&gt;"",E404&lt;TODAY()),"OVERDUE",IF(AND(E404&lt;&gt;"",E404=TODAY()),"DUE TODAY",IF(AND(K404&lt;&gt;"",K404&lt;=TODAY()),"FOLLOW UP",IF(AND(E404&lt;&gt;"",E404&lt;=TODAY()+3),"DUE SOON",IF(E404="","NO DUE DATE",""))))))</f>
        <v/>
      </c>
      <c r="H404" s="45"/>
      <c r="I404" s="46"/>
      <c r="J404" s="45"/>
      <c r="K404" s="47"/>
      <c r="L404" s="47"/>
      <c r="M404" s="47"/>
      <c r="N404" s="45"/>
    </row>
    <row r="405" customFormat="false" ht="18" hidden="false" customHeight="true" outlineLevel="0" collapsed="false">
      <c r="A405" s="44" t="str">
        <f aca="false">IF(B405="","",ROW()-4)</f>
        <v/>
      </c>
      <c r="B405" s="45"/>
      <c r="C405" s="46"/>
      <c r="D405" s="46"/>
      <c r="E405" s="47"/>
      <c r="F405" s="44" t="str">
        <f aca="true">IF(OR(B405="",E405="",C405="Done",C405="Cancelled"),"",E405-TODAY())</f>
        <v/>
      </c>
      <c r="G405" s="48" t="str">
        <f aca="true">IF(OR(B405="",C405="Done",C405="Cancelled"),"",IF(AND(E405&lt;&gt;"",E405&lt;TODAY()),"OVERDUE",IF(AND(E405&lt;&gt;"",E405=TODAY()),"DUE TODAY",IF(AND(K405&lt;&gt;"",K405&lt;=TODAY()),"FOLLOW UP",IF(AND(E405&lt;&gt;"",E405&lt;=TODAY()+3),"DUE SOON",IF(E405="","NO DUE DATE",""))))))</f>
        <v/>
      </c>
      <c r="H405" s="45"/>
      <c r="I405" s="46"/>
      <c r="J405" s="45"/>
      <c r="K405" s="47"/>
      <c r="L405" s="47"/>
      <c r="M405" s="47"/>
      <c r="N405" s="45"/>
    </row>
    <row r="406" customFormat="false" ht="18" hidden="false" customHeight="true" outlineLevel="0" collapsed="false">
      <c r="A406" s="44" t="str">
        <f aca="false">IF(B406="","",ROW()-4)</f>
        <v/>
      </c>
      <c r="B406" s="45"/>
      <c r="C406" s="46"/>
      <c r="D406" s="46"/>
      <c r="E406" s="47"/>
      <c r="F406" s="44" t="str">
        <f aca="true">IF(OR(B406="",E406="",C406="Done",C406="Cancelled"),"",E406-TODAY())</f>
        <v/>
      </c>
      <c r="G406" s="48" t="str">
        <f aca="true">IF(OR(B406="",C406="Done",C406="Cancelled"),"",IF(AND(E406&lt;&gt;"",E406&lt;TODAY()),"OVERDUE",IF(AND(E406&lt;&gt;"",E406=TODAY()),"DUE TODAY",IF(AND(K406&lt;&gt;"",K406&lt;=TODAY()),"FOLLOW UP",IF(AND(E406&lt;&gt;"",E406&lt;=TODAY()+3),"DUE SOON",IF(E406="","NO DUE DATE",""))))))</f>
        <v/>
      </c>
      <c r="H406" s="45"/>
      <c r="I406" s="46"/>
      <c r="J406" s="45"/>
      <c r="K406" s="47"/>
      <c r="L406" s="47"/>
      <c r="M406" s="47"/>
      <c r="N406" s="45"/>
    </row>
    <row r="407" customFormat="false" ht="18" hidden="false" customHeight="true" outlineLevel="0" collapsed="false">
      <c r="A407" s="44" t="str">
        <f aca="false">IF(B407="","",ROW()-4)</f>
        <v/>
      </c>
      <c r="B407" s="45"/>
      <c r="C407" s="46"/>
      <c r="D407" s="46"/>
      <c r="E407" s="47"/>
      <c r="F407" s="44" t="str">
        <f aca="true">IF(OR(B407="",E407="",C407="Done",C407="Cancelled"),"",E407-TODAY())</f>
        <v/>
      </c>
      <c r="G407" s="48" t="str">
        <f aca="true">IF(OR(B407="",C407="Done",C407="Cancelled"),"",IF(AND(E407&lt;&gt;"",E407&lt;TODAY()),"OVERDUE",IF(AND(E407&lt;&gt;"",E407=TODAY()),"DUE TODAY",IF(AND(K407&lt;&gt;"",K407&lt;=TODAY()),"FOLLOW UP",IF(AND(E407&lt;&gt;"",E407&lt;=TODAY()+3),"DUE SOON",IF(E407="","NO DUE DATE",""))))))</f>
        <v/>
      </c>
      <c r="H407" s="45"/>
      <c r="I407" s="46"/>
      <c r="J407" s="45"/>
      <c r="K407" s="47"/>
      <c r="L407" s="47"/>
      <c r="M407" s="47"/>
      <c r="N407" s="45"/>
    </row>
    <row r="408" customFormat="false" ht="18" hidden="false" customHeight="true" outlineLevel="0" collapsed="false">
      <c r="A408" s="44" t="str">
        <f aca="false">IF(B408="","",ROW()-4)</f>
        <v/>
      </c>
      <c r="B408" s="45"/>
      <c r="C408" s="46"/>
      <c r="D408" s="46"/>
      <c r="E408" s="47"/>
      <c r="F408" s="44" t="str">
        <f aca="true">IF(OR(B408="",E408="",C408="Done",C408="Cancelled"),"",E408-TODAY())</f>
        <v/>
      </c>
      <c r="G408" s="48" t="str">
        <f aca="true">IF(OR(B408="",C408="Done",C408="Cancelled"),"",IF(AND(E408&lt;&gt;"",E408&lt;TODAY()),"OVERDUE",IF(AND(E408&lt;&gt;"",E408=TODAY()),"DUE TODAY",IF(AND(K408&lt;&gt;"",K408&lt;=TODAY()),"FOLLOW UP",IF(AND(E408&lt;&gt;"",E408&lt;=TODAY()+3),"DUE SOON",IF(E408="","NO DUE DATE",""))))))</f>
        <v/>
      </c>
      <c r="H408" s="45"/>
      <c r="I408" s="46"/>
      <c r="J408" s="45"/>
      <c r="K408" s="47"/>
      <c r="L408" s="47"/>
      <c r="M408" s="47"/>
      <c r="N408" s="45"/>
    </row>
    <row r="409" customFormat="false" ht="18" hidden="false" customHeight="true" outlineLevel="0" collapsed="false">
      <c r="A409" s="44" t="str">
        <f aca="false">IF(B409="","",ROW()-4)</f>
        <v/>
      </c>
      <c r="B409" s="45"/>
      <c r="C409" s="46"/>
      <c r="D409" s="46"/>
      <c r="E409" s="47"/>
      <c r="F409" s="44" t="str">
        <f aca="true">IF(OR(B409="",E409="",C409="Done",C409="Cancelled"),"",E409-TODAY())</f>
        <v/>
      </c>
      <c r="G409" s="48" t="str">
        <f aca="true">IF(OR(B409="",C409="Done",C409="Cancelled"),"",IF(AND(E409&lt;&gt;"",E409&lt;TODAY()),"OVERDUE",IF(AND(E409&lt;&gt;"",E409=TODAY()),"DUE TODAY",IF(AND(K409&lt;&gt;"",K409&lt;=TODAY()),"FOLLOW UP",IF(AND(E409&lt;&gt;"",E409&lt;=TODAY()+3),"DUE SOON",IF(E409="","NO DUE DATE",""))))))</f>
        <v/>
      </c>
      <c r="H409" s="45"/>
      <c r="I409" s="46"/>
      <c r="J409" s="45"/>
      <c r="K409" s="47"/>
      <c r="L409" s="47"/>
      <c r="M409" s="47"/>
      <c r="N409" s="45"/>
    </row>
    <row r="410" customFormat="false" ht="18" hidden="false" customHeight="true" outlineLevel="0" collapsed="false">
      <c r="A410" s="44" t="str">
        <f aca="false">IF(B410="","",ROW()-4)</f>
        <v/>
      </c>
      <c r="B410" s="45"/>
      <c r="C410" s="46"/>
      <c r="D410" s="46"/>
      <c r="E410" s="47"/>
      <c r="F410" s="44" t="str">
        <f aca="true">IF(OR(B410="",E410="",C410="Done",C410="Cancelled"),"",E410-TODAY())</f>
        <v/>
      </c>
      <c r="G410" s="48" t="str">
        <f aca="true">IF(OR(B410="",C410="Done",C410="Cancelled"),"",IF(AND(E410&lt;&gt;"",E410&lt;TODAY()),"OVERDUE",IF(AND(E410&lt;&gt;"",E410=TODAY()),"DUE TODAY",IF(AND(K410&lt;&gt;"",K410&lt;=TODAY()),"FOLLOW UP",IF(AND(E410&lt;&gt;"",E410&lt;=TODAY()+3),"DUE SOON",IF(E410="","NO DUE DATE",""))))))</f>
        <v/>
      </c>
      <c r="H410" s="45"/>
      <c r="I410" s="46"/>
      <c r="J410" s="45"/>
      <c r="K410" s="47"/>
      <c r="L410" s="47"/>
      <c r="M410" s="47"/>
      <c r="N410" s="45"/>
    </row>
    <row r="411" customFormat="false" ht="18" hidden="false" customHeight="true" outlineLevel="0" collapsed="false">
      <c r="A411" s="44" t="str">
        <f aca="false">IF(B411="","",ROW()-4)</f>
        <v/>
      </c>
      <c r="B411" s="45"/>
      <c r="C411" s="46"/>
      <c r="D411" s="46"/>
      <c r="E411" s="47"/>
      <c r="F411" s="44" t="str">
        <f aca="true">IF(OR(B411="",E411="",C411="Done",C411="Cancelled"),"",E411-TODAY())</f>
        <v/>
      </c>
      <c r="G411" s="48" t="str">
        <f aca="true">IF(OR(B411="",C411="Done",C411="Cancelled"),"",IF(AND(E411&lt;&gt;"",E411&lt;TODAY()),"OVERDUE",IF(AND(E411&lt;&gt;"",E411=TODAY()),"DUE TODAY",IF(AND(K411&lt;&gt;"",K411&lt;=TODAY()),"FOLLOW UP",IF(AND(E411&lt;&gt;"",E411&lt;=TODAY()+3),"DUE SOON",IF(E411="","NO DUE DATE",""))))))</f>
        <v/>
      </c>
      <c r="H411" s="45"/>
      <c r="I411" s="46"/>
      <c r="J411" s="45"/>
      <c r="K411" s="47"/>
      <c r="L411" s="47"/>
      <c r="M411" s="47"/>
      <c r="N411" s="45"/>
    </row>
    <row r="412" customFormat="false" ht="18" hidden="false" customHeight="true" outlineLevel="0" collapsed="false">
      <c r="A412" s="44" t="str">
        <f aca="false">IF(B412="","",ROW()-4)</f>
        <v/>
      </c>
      <c r="B412" s="45"/>
      <c r="C412" s="46"/>
      <c r="D412" s="46"/>
      <c r="E412" s="47"/>
      <c r="F412" s="44" t="str">
        <f aca="true">IF(OR(B412="",E412="",C412="Done",C412="Cancelled"),"",E412-TODAY())</f>
        <v/>
      </c>
      <c r="G412" s="48" t="str">
        <f aca="true">IF(OR(B412="",C412="Done",C412="Cancelled"),"",IF(AND(E412&lt;&gt;"",E412&lt;TODAY()),"OVERDUE",IF(AND(E412&lt;&gt;"",E412=TODAY()),"DUE TODAY",IF(AND(K412&lt;&gt;"",K412&lt;=TODAY()),"FOLLOW UP",IF(AND(E412&lt;&gt;"",E412&lt;=TODAY()+3),"DUE SOON",IF(E412="","NO DUE DATE",""))))))</f>
        <v/>
      </c>
      <c r="H412" s="45"/>
      <c r="I412" s="46"/>
      <c r="J412" s="45"/>
      <c r="K412" s="47"/>
      <c r="L412" s="47"/>
      <c r="M412" s="47"/>
      <c r="N412" s="45"/>
    </row>
    <row r="413" customFormat="false" ht="18" hidden="false" customHeight="true" outlineLevel="0" collapsed="false">
      <c r="A413" s="44" t="str">
        <f aca="false">IF(B413="","",ROW()-4)</f>
        <v/>
      </c>
      <c r="B413" s="45"/>
      <c r="C413" s="46"/>
      <c r="D413" s="46"/>
      <c r="E413" s="47"/>
      <c r="F413" s="44" t="str">
        <f aca="true">IF(OR(B413="",E413="",C413="Done",C413="Cancelled"),"",E413-TODAY())</f>
        <v/>
      </c>
      <c r="G413" s="48" t="str">
        <f aca="true">IF(OR(B413="",C413="Done",C413="Cancelled"),"",IF(AND(E413&lt;&gt;"",E413&lt;TODAY()),"OVERDUE",IF(AND(E413&lt;&gt;"",E413=TODAY()),"DUE TODAY",IF(AND(K413&lt;&gt;"",K413&lt;=TODAY()),"FOLLOW UP",IF(AND(E413&lt;&gt;"",E413&lt;=TODAY()+3),"DUE SOON",IF(E413="","NO DUE DATE",""))))))</f>
        <v/>
      </c>
      <c r="H413" s="45"/>
      <c r="I413" s="46"/>
      <c r="J413" s="45"/>
      <c r="K413" s="47"/>
      <c r="L413" s="47"/>
      <c r="M413" s="47"/>
      <c r="N413" s="45"/>
    </row>
    <row r="414" customFormat="false" ht="18" hidden="false" customHeight="true" outlineLevel="0" collapsed="false">
      <c r="A414" s="44" t="str">
        <f aca="false">IF(B414="","",ROW()-4)</f>
        <v/>
      </c>
      <c r="B414" s="45"/>
      <c r="C414" s="46"/>
      <c r="D414" s="46"/>
      <c r="E414" s="47"/>
      <c r="F414" s="44" t="str">
        <f aca="true">IF(OR(B414="",E414="",C414="Done",C414="Cancelled"),"",E414-TODAY())</f>
        <v/>
      </c>
      <c r="G414" s="48" t="str">
        <f aca="true">IF(OR(B414="",C414="Done",C414="Cancelled"),"",IF(AND(E414&lt;&gt;"",E414&lt;TODAY()),"OVERDUE",IF(AND(E414&lt;&gt;"",E414=TODAY()),"DUE TODAY",IF(AND(K414&lt;&gt;"",K414&lt;=TODAY()),"FOLLOW UP",IF(AND(E414&lt;&gt;"",E414&lt;=TODAY()+3),"DUE SOON",IF(E414="","NO DUE DATE",""))))))</f>
        <v/>
      </c>
      <c r="H414" s="45"/>
      <c r="I414" s="46"/>
      <c r="J414" s="45"/>
      <c r="K414" s="47"/>
      <c r="L414" s="47"/>
      <c r="M414" s="47"/>
      <c r="N414" s="45"/>
    </row>
    <row r="415" customFormat="false" ht="18" hidden="false" customHeight="true" outlineLevel="0" collapsed="false">
      <c r="A415" s="44" t="str">
        <f aca="false">IF(B415="","",ROW()-4)</f>
        <v/>
      </c>
      <c r="B415" s="45"/>
      <c r="C415" s="46"/>
      <c r="D415" s="46"/>
      <c r="E415" s="47"/>
      <c r="F415" s="44" t="str">
        <f aca="true">IF(OR(B415="",E415="",C415="Done",C415="Cancelled"),"",E415-TODAY())</f>
        <v/>
      </c>
      <c r="G415" s="48" t="str">
        <f aca="true">IF(OR(B415="",C415="Done",C415="Cancelled"),"",IF(AND(E415&lt;&gt;"",E415&lt;TODAY()),"OVERDUE",IF(AND(E415&lt;&gt;"",E415=TODAY()),"DUE TODAY",IF(AND(K415&lt;&gt;"",K415&lt;=TODAY()),"FOLLOW UP",IF(AND(E415&lt;&gt;"",E415&lt;=TODAY()+3),"DUE SOON",IF(E415="","NO DUE DATE",""))))))</f>
        <v/>
      </c>
      <c r="H415" s="45"/>
      <c r="I415" s="46"/>
      <c r="J415" s="45"/>
      <c r="K415" s="47"/>
      <c r="L415" s="47"/>
      <c r="M415" s="47"/>
      <c r="N415" s="45"/>
    </row>
    <row r="416" customFormat="false" ht="18" hidden="false" customHeight="true" outlineLevel="0" collapsed="false">
      <c r="A416" s="44" t="str">
        <f aca="false">IF(B416="","",ROW()-4)</f>
        <v/>
      </c>
      <c r="B416" s="45"/>
      <c r="C416" s="46"/>
      <c r="D416" s="46"/>
      <c r="E416" s="47"/>
      <c r="F416" s="44" t="str">
        <f aca="true">IF(OR(B416="",E416="",C416="Done",C416="Cancelled"),"",E416-TODAY())</f>
        <v/>
      </c>
      <c r="G416" s="48" t="str">
        <f aca="true">IF(OR(B416="",C416="Done",C416="Cancelled"),"",IF(AND(E416&lt;&gt;"",E416&lt;TODAY()),"OVERDUE",IF(AND(E416&lt;&gt;"",E416=TODAY()),"DUE TODAY",IF(AND(K416&lt;&gt;"",K416&lt;=TODAY()),"FOLLOW UP",IF(AND(E416&lt;&gt;"",E416&lt;=TODAY()+3),"DUE SOON",IF(E416="","NO DUE DATE",""))))))</f>
        <v/>
      </c>
      <c r="H416" s="45"/>
      <c r="I416" s="46"/>
      <c r="J416" s="45"/>
      <c r="K416" s="47"/>
      <c r="L416" s="47"/>
      <c r="M416" s="47"/>
      <c r="N416" s="45"/>
    </row>
    <row r="417" customFormat="false" ht="18" hidden="false" customHeight="true" outlineLevel="0" collapsed="false">
      <c r="A417" s="44" t="str">
        <f aca="false">IF(B417="","",ROW()-4)</f>
        <v/>
      </c>
      <c r="B417" s="45"/>
      <c r="C417" s="46"/>
      <c r="D417" s="46"/>
      <c r="E417" s="47"/>
      <c r="F417" s="44" t="str">
        <f aca="true">IF(OR(B417="",E417="",C417="Done",C417="Cancelled"),"",E417-TODAY())</f>
        <v/>
      </c>
      <c r="G417" s="48" t="str">
        <f aca="true">IF(OR(B417="",C417="Done",C417="Cancelled"),"",IF(AND(E417&lt;&gt;"",E417&lt;TODAY()),"OVERDUE",IF(AND(E417&lt;&gt;"",E417=TODAY()),"DUE TODAY",IF(AND(K417&lt;&gt;"",K417&lt;=TODAY()),"FOLLOW UP",IF(AND(E417&lt;&gt;"",E417&lt;=TODAY()+3),"DUE SOON",IF(E417="","NO DUE DATE",""))))))</f>
        <v/>
      </c>
      <c r="H417" s="45"/>
      <c r="I417" s="46"/>
      <c r="J417" s="45"/>
      <c r="K417" s="47"/>
      <c r="L417" s="47"/>
      <c r="M417" s="47"/>
      <c r="N417" s="45"/>
    </row>
    <row r="418" customFormat="false" ht="18" hidden="false" customHeight="true" outlineLevel="0" collapsed="false">
      <c r="A418" s="44" t="str">
        <f aca="false">IF(B418="","",ROW()-4)</f>
        <v/>
      </c>
      <c r="B418" s="45"/>
      <c r="C418" s="46"/>
      <c r="D418" s="46"/>
      <c r="E418" s="47"/>
      <c r="F418" s="44" t="str">
        <f aca="true">IF(OR(B418="",E418="",C418="Done",C418="Cancelled"),"",E418-TODAY())</f>
        <v/>
      </c>
      <c r="G418" s="48" t="str">
        <f aca="true">IF(OR(B418="",C418="Done",C418="Cancelled"),"",IF(AND(E418&lt;&gt;"",E418&lt;TODAY()),"OVERDUE",IF(AND(E418&lt;&gt;"",E418=TODAY()),"DUE TODAY",IF(AND(K418&lt;&gt;"",K418&lt;=TODAY()),"FOLLOW UP",IF(AND(E418&lt;&gt;"",E418&lt;=TODAY()+3),"DUE SOON",IF(E418="","NO DUE DATE",""))))))</f>
        <v/>
      </c>
      <c r="H418" s="45"/>
      <c r="I418" s="46"/>
      <c r="J418" s="45"/>
      <c r="K418" s="47"/>
      <c r="L418" s="47"/>
      <c r="M418" s="47"/>
      <c r="N418" s="45"/>
    </row>
    <row r="419" customFormat="false" ht="18" hidden="false" customHeight="true" outlineLevel="0" collapsed="false">
      <c r="A419" s="44" t="str">
        <f aca="false">IF(B419="","",ROW()-4)</f>
        <v/>
      </c>
      <c r="B419" s="45"/>
      <c r="C419" s="46"/>
      <c r="D419" s="46"/>
      <c r="E419" s="47"/>
      <c r="F419" s="44" t="str">
        <f aca="true">IF(OR(B419="",E419="",C419="Done",C419="Cancelled"),"",E419-TODAY())</f>
        <v/>
      </c>
      <c r="G419" s="48" t="str">
        <f aca="true">IF(OR(B419="",C419="Done",C419="Cancelled"),"",IF(AND(E419&lt;&gt;"",E419&lt;TODAY()),"OVERDUE",IF(AND(E419&lt;&gt;"",E419=TODAY()),"DUE TODAY",IF(AND(K419&lt;&gt;"",K419&lt;=TODAY()),"FOLLOW UP",IF(AND(E419&lt;&gt;"",E419&lt;=TODAY()+3),"DUE SOON",IF(E419="","NO DUE DATE",""))))))</f>
        <v/>
      </c>
      <c r="H419" s="45"/>
      <c r="I419" s="46"/>
      <c r="J419" s="45"/>
      <c r="K419" s="47"/>
      <c r="L419" s="47"/>
      <c r="M419" s="47"/>
      <c r="N419" s="45"/>
    </row>
    <row r="420" customFormat="false" ht="18" hidden="false" customHeight="true" outlineLevel="0" collapsed="false">
      <c r="A420" s="44" t="str">
        <f aca="false">IF(B420="","",ROW()-4)</f>
        <v/>
      </c>
      <c r="B420" s="45"/>
      <c r="C420" s="46"/>
      <c r="D420" s="46"/>
      <c r="E420" s="47"/>
      <c r="F420" s="44" t="str">
        <f aca="true">IF(OR(B420="",E420="",C420="Done",C420="Cancelled"),"",E420-TODAY())</f>
        <v/>
      </c>
      <c r="G420" s="48" t="str">
        <f aca="true">IF(OR(B420="",C420="Done",C420="Cancelled"),"",IF(AND(E420&lt;&gt;"",E420&lt;TODAY()),"OVERDUE",IF(AND(E420&lt;&gt;"",E420=TODAY()),"DUE TODAY",IF(AND(K420&lt;&gt;"",K420&lt;=TODAY()),"FOLLOW UP",IF(AND(E420&lt;&gt;"",E420&lt;=TODAY()+3),"DUE SOON",IF(E420="","NO DUE DATE",""))))))</f>
        <v/>
      </c>
      <c r="H420" s="45"/>
      <c r="I420" s="46"/>
      <c r="J420" s="45"/>
      <c r="K420" s="47"/>
      <c r="L420" s="47"/>
      <c r="M420" s="47"/>
      <c r="N420" s="45"/>
    </row>
    <row r="421" customFormat="false" ht="18" hidden="false" customHeight="true" outlineLevel="0" collapsed="false">
      <c r="A421" s="44" t="str">
        <f aca="false">IF(B421="","",ROW()-4)</f>
        <v/>
      </c>
      <c r="B421" s="45"/>
      <c r="C421" s="46"/>
      <c r="D421" s="46"/>
      <c r="E421" s="47"/>
      <c r="F421" s="44" t="str">
        <f aca="true">IF(OR(B421="",E421="",C421="Done",C421="Cancelled"),"",E421-TODAY())</f>
        <v/>
      </c>
      <c r="G421" s="48" t="str">
        <f aca="true">IF(OR(B421="",C421="Done",C421="Cancelled"),"",IF(AND(E421&lt;&gt;"",E421&lt;TODAY()),"OVERDUE",IF(AND(E421&lt;&gt;"",E421=TODAY()),"DUE TODAY",IF(AND(K421&lt;&gt;"",K421&lt;=TODAY()),"FOLLOW UP",IF(AND(E421&lt;&gt;"",E421&lt;=TODAY()+3),"DUE SOON",IF(E421="","NO DUE DATE",""))))))</f>
        <v/>
      </c>
      <c r="H421" s="45"/>
      <c r="I421" s="46"/>
      <c r="J421" s="45"/>
      <c r="K421" s="47"/>
      <c r="L421" s="47"/>
      <c r="M421" s="47"/>
      <c r="N421" s="45"/>
    </row>
    <row r="422" customFormat="false" ht="18" hidden="false" customHeight="true" outlineLevel="0" collapsed="false">
      <c r="A422" s="44" t="str">
        <f aca="false">IF(B422="","",ROW()-4)</f>
        <v/>
      </c>
      <c r="B422" s="45"/>
      <c r="C422" s="46"/>
      <c r="D422" s="46"/>
      <c r="E422" s="47"/>
      <c r="F422" s="44" t="str">
        <f aca="true">IF(OR(B422="",E422="",C422="Done",C422="Cancelled"),"",E422-TODAY())</f>
        <v/>
      </c>
      <c r="G422" s="48" t="str">
        <f aca="true">IF(OR(B422="",C422="Done",C422="Cancelled"),"",IF(AND(E422&lt;&gt;"",E422&lt;TODAY()),"OVERDUE",IF(AND(E422&lt;&gt;"",E422=TODAY()),"DUE TODAY",IF(AND(K422&lt;&gt;"",K422&lt;=TODAY()),"FOLLOW UP",IF(AND(E422&lt;&gt;"",E422&lt;=TODAY()+3),"DUE SOON",IF(E422="","NO DUE DATE",""))))))</f>
        <v/>
      </c>
      <c r="H422" s="45"/>
      <c r="I422" s="46"/>
      <c r="J422" s="45"/>
      <c r="K422" s="47"/>
      <c r="L422" s="47"/>
      <c r="M422" s="47"/>
      <c r="N422" s="45"/>
    </row>
    <row r="423" customFormat="false" ht="18" hidden="false" customHeight="true" outlineLevel="0" collapsed="false">
      <c r="A423" s="44" t="str">
        <f aca="false">IF(B423="","",ROW()-4)</f>
        <v/>
      </c>
      <c r="B423" s="45"/>
      <c r="C423" s="46"/>
      <c r="D423" s="46"/>
      <c r="E423" s="47"/>
      <c r="F423" s="44" t="str">
        <f aca="true">IF(OR(B423="",E423="",C423="Done",C423="Cancelled"),"",E423-TODAY())</f>
        <v/>
      </c>
      <c r="G423" s="48" t="str">
        <f aca="true">IF(OR(B423="",C423="Done",C423="Cancelled"),"",IF(AND(E423&lt;&gt;"",E423&lt;TODAY()),"OVERDUE",IF(AND(E423&lt;&gt;"",E423=TODAY()),"DUE TODAY",IF(AND(K423&lt;&gt;"",K423&lt;=TODAY()),"FOLLOW UP",IF(AND(E423&lt;&gt;"",E423&lt;=TODAY()+3),"DUE SOON",IF(E423="","NO DUE DATE",""))))))</f>
        <v/>
      </c>
      <c r="H423" s="45"/>
      <c r="I423" s="46"/>
      <c r="J423" s="45"/>
      <c r="K423" s="47"/>
      <c r="L423" s="47"/>
      <c r="M423" s="47"/>
      <c r="N423" s="45"/>
    </row>
    <row r="424" customFormat="false" ht="18" hidden="false" customHeight="true" outlineLevel="0" collapsed="false">
      <c r="A424" s="44" t="str">
        <f aca="false">IF(B424="","",ROW()-4)</f>
        <v/>
      </c>
      <c r="B424" s="45"/>
      <c r="C424" s="46"/>
      <c r="D424" s="46"/>
      <c r="E424" s="47"/>
      <c r="F424" s="44" t="str">
        <f aca="true">IF(OR(B424="",E424="",C424="Done",C424="Cancelled"),"",E424-TODAY())</f>
        <v/>
      </c>
      <c r="G424" s="48" t="str">
        <f aca="true">IF(OR(B424="",C424="Done",C424="Cancelled"),"",IF(AND(E424&lt;&gt;"",E424&lt;TODAY()),"OVERDUE",IF(AND(E424&lt;&gt;"",E424=TODAY()),"DUE TODAY",IF(AND(K424&lt;&gt;"",K424&lt;=TODAY()),"FOLLOW UP",IF(AND(E424&lt;&gt;"",E424&lt;=TODAY()+3),"DUE SOON",IF(E424="","NO DUE DATE",""))))))</f>
        <v/>
      </c>
      <c r="H424" s="45"/>
      <c r="I424" s="46"/>
      <c r="J424" s="45"/>
      <c r="K424" s="47"/>
      <c r="L424" s="47"/>
      <c r="M424" s="47"/>
      <c r="N424" s="45"/>
    </row>
    <row r="425" customFormat="false" ht="18" hidden="false" customHeight="true" outlineLevel="0" collapsed="false">
      <c r="A425" s="44" t="str">
        <f aca="false">IF(B425="","",ROW()-4)</f>
        <v/>
      </c>
      <c r="B425" s="45"/>
      <c r="C425" s="46"/>
      <c r="D425" s="46"/>
      <c r="E425" s="47"/>
      <c r="F425" s="44" t="str">
        <f aca="true">IF(OR(B425="",E425="",C425="Done",C425="Cancelled"),"",E425-TODAY())</f>
        <v/>
      </c>
      <c r="G425" s="48" t="str">
        <f aca="true">IF(OR(B425="",C425="Done",C425="Cancelled"),"",IF(AND(E425&lt;&gt;"",E425&lt;TODAY()),"OVERDUE",IF(AND(E425&lt;&gt;"",E425=TODAY()),"DUE TODAY",IF(AND(K425&lt;&gt;"",K425&lt;=TODAY()),"FOLLOW UP",IF(AND(E425&lt;&gt;"",E425&lt;=TODAY()+3),"DUE SOON",IF(E425="","NO DUE DATE",""))))))</f>
        <v/>
      </c>
      <c r="H425" s="45"/>
      <c r="I425" s="46"/>
      <c r="J425" s="45"/>
      <c r="K425" s="47"/>
      <c r="L425" s="47"/>
      <c r="M425" s="47"/>
      <c r="N425" s="45"/>
    </row>
    <row r="426" customFormat="false" ht="18" hidden="false" customHeight="true" outlineLevel="0" collapsed="false">
      <c r="A426" s="44" t="str">
        <f aca="false">IF(B426="","",ROW()-4)</f>
        <v/>
      </c>
      <c r="B426" s="45"/>
      <c r="C426" s="46"/>
      <c r="D426" s="46"/>
      <c r="E426" s="47"/>
      <c r="F426" s="44" t="str">
        <f aca="true">IF(OR(B426="",E426="",C426="Done",C426="Cancelled"),"",E426-TODAY())</f>
        <v/>
      </c>
      <c r="G426" s="48" t="str">
        <f aca="true">IF(OR(B426="",C426="Done",C426="Cancelled"),"",IF(AND(E426&lt;&gt;"",E426&lt;TODAY()),"OVERDUE",IF(AND(E426&lt;&gt;"",E426=TODAY()),"DUE TODAY",IF(AND(K426&lt;&gt;"",K426&lt;=TODAY()),"FOLLOW UP",IF(AND(E426&lt;&gt;"",E426&lt;=TODAY()+3),"DUE SOON",IF(E426="","NO DUE DATE",""))))))</f>
        <v/>
      </c>
      <c r="H426" s="45"/>
      <c r="I426" s="46"/>
      <c r="J426" s="45"/>
      <c r="K426" s="47"/>
      <c r="L426" s="47"/>
      <c r="M426" s="47"/>
      <c r="N426" s="45"/>
    </row>
    <row r="427" customFormat="false" ht="18" hidden="false" customHeight="true" outlineLevel="0" collapsed="false">
      <c r="A427" s="44" t="str">
        <f aca="false">IF(B427="","",ROW()-4)</f>
        <v/>
      </c>
      <c r="B427" s="45"/>
      <c r="C427" s="46"/>
      <c r="D427" s="46"/>
      <c r="E427" s="47"/>
      <c r="F427" s="44" t="str">
        <f aca="true">IF(OR(B427="",E427="",C427="Done",C427="Cancelled"),"",E427-TODAY())</f>
        <v/>
      </c>
      <c r="G427" s="48" t="str">
        <f aca="true">IF(OR(B427="",C427="Done",C427="Cancelled"),"",IF(AND(E427&lt;&gt;"",E427&lt;TODAY()),"OVERDUE",IF(AND(E427&lt;&gt;"",E427=TODAY()),"DUE TODAY",IF(AND(K427&lt;&gt;"",K427&lt;=TODAY()),"FOLLOW UP",IF(AND(E427&lt;&gt;"",E427&lt;=TODAY()+3),"DUE SOON",IF(E427="","NO DUE DATE",""))))))</f>
        <v/>
      </c>
      <c r="H427" s="45"/>
      <c r="I427" s="46"/>
      <c r="J427" s="45"/>
      <c r="K427" s="47"/>
      <c r="L427" s="47"/>
      <c r="M427" s="47"/>
      <c r="N427" s="45"/>
    </row>
    <row r="428" customFormat="false" ht="18" hidden="false" customHeight="true" outlineLevel="0" collapsed="false">
      <c r="A428" s="44" t="str">
        <f aca="false">IF(B428="","",ROW()-4)</f>
        <v/>
      </c>
      <c r="B428" s="45"/>
      <c r="C428" s="46"/>
      <c r="D428" s="46"/>
      <c r="E428" s="47"/>
      <c r="F428" s="44" t="str">
        <f aca="true">IF(OR(B428="",E428="",C428="Done",C428="Cancelled"),"",E428-TODAY())</f>
        <v/>
      </c>
      <c r="G428" s="48" t="str">
        <f aca="true">IF(OR(B428="",C428="Done",C428="Cancelled"),"",IF(AND(E428&lt;&gt;"",E428&lt;TODAY()),"OVERDUE",IF(AND(E428&lt;&gt;"",E428=TODAY()),"DUE TODAY",IF(AND(K428&lt;&gt;"",K428&lt;=TODAY()),"FOLLOW UP",IF(AND(E428&lt;&gt;"",E428&lt;=TODAY()+3),"DUE SOON",IF(E428="","NO DUE DATE",""))))))</f>
        <v/>
      </c>
      <c r="H428" s="45"/>
      <c r="I428" s="46"/>
      <c r="J428" s="45"/>
      <c r="K428" s="47"/>
      <c r="L428" s="47"/>
      <c r="M428" s="47"/>
      <c r="N428" s="45"/>
    </row>
    <row r="429" customFormat="false" ht="18" hidden="false" customHeight="true" outlineLevel="0" collapsed="false">
      <c r="A429" s="44" t="str">
        <f aca="false">IF(B429="","",ROW()-4)</f>
        <v/>
      </c>
      <c r="B429" s="45"/>
      <c r="C429" s="46"/>
      <c r="D429" s="46"/>
      <c r="E429" s="47"/>
      <c r="F429" s="44" t="str">
        <f aca="true">IF(OR(B429="",E429="",C429="Done",C429="Cancelled"),"",E429-TODAY())</f>
        <v/>
      </c>
      <c r="G429" s="48" t="str">
        <f aca="true">IF(OR(B429="",C429="Done",C429="Cancelled"),"",IF(AND(E429&lt;&gt;"",E429&lt;TODAY()),"OVERDUE",IF(AND(E429&lt;&gt;"",E429=TODAY()),"DUE TODAY",IF(AND(K429&lt;&gt;"",K429&lt;=TODAY()),"FOLLOW UP",IF(AND(E429&lt;&gt;"",E429&lt;=TODAY()+3),"DUE SOON",IF(E429="","NO DUE DATE",""))))))</f>
        <v/>
      </c>
      <c r="H429" s="45"/>
      <c r="I429" s="46"/>
      <c r="J429" s="45"/>
      <c r="K429" s="47"/>
      <c r="L429" s="47"/>
      <c r="M429" s="47"/>
      <c r="N429" s="45"/>
    </row>
    <row r="430" customFormat="false" ht="18" hidden="false" customHeight="true" outlineLevel="0" collapsed="false">
      <c r="A430" s="44" t="str">
        <f aca="false">IF(B430="","",ROW()-4)</f>
        <v/>
      </c>
      <c r="B430" s="45"/>
      <c r="C430" s="46"/>
      <c r="D430" s="46"/>
      <c r="E430" s="47"/>
      <c r="F430" s="44" t="str">
        <f aca="true">IF(OR(B430="",E430="",C430="Done",C430="Cancelled"),"",E430-TODAY())</f>
        <v/>
      </c>
      <c r="G430" s="48" t="str">
        <f aca="true">IF(OR(B430="",C430="Done",C430="Cancelled"),"",IF(AND(E430&lt;&gt;"",E430&lt;TODAY()),"OVERDUE",IF(AND(E430&lt;&gt;"",E430=TODAY()),"DUE TODAY",IF(AND(K430&lt;&gt;"",K430&lt;=TODAY()),"FOLLOW UP",IF(AND(E430&lt;&gt;"",E430&lt;=TODAY()+3),"DUE SOON",IF(E430="","NO DUE DATE",""))))))</f>
        <v/>
      </c>
      <c r="H430" s="45"/>
      <c r="I430" s="46"/>
      <c r="J430" s="45"/>
      <c r="K430" s="47"/>
      <c r="L430" s="47"/>
      <c r="M430" s="47"/>
      <c r="N430" s="45"/>
    </row>
    <row r="431" customFormat="false" ht="18" hidden="false" customHeight="true" outlineLevel="0" collapsed="false">
      <c r="A431" s="44" t="str">
        <f aca="false">IF(B431="","",ROW()-4)</f>
        <v/>
      </c>
      <c r="B431" s="45"/>
      <c r="C431" s="46"/>
      <c r="D431" s="46"/>
      <c r="E431" s="47"/>
      <c r="F431" s="44" t="str">
        <f aca="true">IF(OR(B431="",E431="",C431="Done",C431="Cancelled"),"",E431-TODAY())</f>
        <v/>
      </c>
      <c r="G431" s="48" t="str">
        <f aca="true">IF(OR(B431="",C431="Done",C431="Cancelled"),"",IF(AND(E431&lt;&gt;"",E431&lt;TODAY()),"OVERDUE",IF(AND(E431&lt;&gt;"",E431=TODAY()),"DUE TODAY",IF(AND(K431&lt;&gt;"",K431&lt;=TODAY()),"FOLLOW UP",IF(AND(E431&lt;&gt;"",E431&lt;=TODAY()+3),"DUE SOON",IF(E431="","NO DUE DATE",""))))))</f>
        <v/>
      </c>
      <c r="H431" s="45"/>
      <c r="I431" s="46"/>
      <c r="J431" s="45"/>
      <c r="K431" s="47"/>
      <c r="L431" s="47"/>
      <c r="M431" s="47"/>
      <c r="N431" s="45"/>
    </row>
    <row r="432" customFormat="false" ht="18" hidden="false" customHeight="true" outlineLevel="0" collapsed="false">
      <c r="A432" s="44" t="str">
        <f aca="false">IF(B432="","",ROW()-4)</f>
        <v/>
      </c>
      <c r="B432" s="45"/>
      <c r="C432" s="46"/>
      <c r="D432" s="46"/>
      <c r="E432" s="47"/>
      <c r="F432" s="44" t="str">
        <f aca="true">IF(OR(B432="",E432="",C432="Done",C432="Cancelled"),"",E432-TODAY())</f>
        <v/>
      </c>
      <c r="G432" s="48" t="str">
        <f aca="true">IF(OR(B432="",C432="Done",C432="Cancelled"),"",IF(AND(E432&lt;&gt;"",E432&lt;TODAY()),"OVERDUE",IF(AND(E432&lt;&gt;"",E432=TODAY()),"DUE TODAY",IF(AND(K432&lt;&gt;"",K432&lt;=TODAY()),"FOLLOW UP",IF(AND(E432&lt;&gt;"",E432&lt;=TODAY()+3),"DUE SOON",IF(E432="","NO DUE DATE",""))))))</f>
        <v/>
      </c>
      <c r="H432" s="45"/>
      <c r="I432" s="46"/>
      <c r="J432" s="45"/>
      <c r="K432" s="47"/>
      <c r="L432" s="47"/>
      <c r="M432" s="47"/>
      <c r="N432" s="45"/>
    </row>
    <row r="433" customFormat="false" ht="18" hidden="false" customHeight="true" outlineLevel="0" collapsed="false">
      <c r="A433" s="44" t="str">
        <f aca="false">IF(B433="","",ROW()-4)</f>
        <v/>
      </c>
      <c r="B433" s="45"/>
      <c r="C433" s="46"/>
      <c r="D433" s="46"/>
      <c r="E433" s="47"/>
      <c r="F433" s="44" t="str">
        <f aca="true">IF(OR(B433="",E433="",C433="Done",C433="Cancelled"),"",E433-TODAY())</f>
        <v/>
      </c>
      <c r="G433" s="48" t="str">
        <f aca="true">IF(OR(B433="",C433="Done",C433="Cancelled"),"",IF(AND(E433&lt;&gt;"",E433&lt;TODAY()),"OVERDUE",IF(AND(E433&lt;&gt;"",E433=TODAY()),"DUE TODAY",IF(AND(K433&lt;&gt;"",K433&lt;=TODAY()),"FOLLOW UP",IF(AND(E433&lt;&gt;"",E433&lt;=TODAY()+3),"DUE SOON",IF(E433="","NO DUE DATE",""))))))</f>
        <v/>
      </c>
      <c r="H433" s="45"/>
      <c r="I433" s="46"/>
      <c r="J433" s="45"/>
      <c r="K433" s="47"/>
      <c r="L433" s="47"/>
      <c r="M433" s="47"/>
      <c r="N433" s="45"/>
    </row>
    <row r="434" customFormat="false" ht="18" hidden="false" customHeight="true" outlineLevel="0" collapsed="false">
      <c r="A434" s="44" t="str">
        <f aca="false">IF(B434="","",ROW()-4)</f>
        <v/>
      </c>
      <c r="B434" s="45"/>
      <c r="C434" s="46"/>
      <c r="D434" s="46"/>
      <c r="E434" s="47"/>
      <c r="F434" s="44" t="str">
        <f aca="true">IF(OR(B434="",E434="",C434="Done",C434="Cancelled"),"",E434-TODAY())</f>
        <v/>
      </c>
      <c r="G434" s="48" t="str">
        <f aca="true">IF(OR(B434="",C434="Done",C434="Cancelled"),"",IF(AND(E434&lt;&gt;"",E434&lt;TODAY()),"OVERDUE",IF(AND(E434&lt;&gt;"",E434=TODAY()),"DUE TODAY",IF(AND(K434&lt;&gt;"",K434&lt;=TODAY()),"FOLLOW UP",IF(AND(E434&lt;&gt;"",E434&lt;=TODAY()+3),"DUE SOON",IF(E434="","NO DUE DATE",""))))))</f>
        <v/>
      </c>
      <c r="H434" s="45"/>
      <c r="I434" s="46"/>
      <c r="J434" s="45"/>
      <c r="K434" s="47"/>
      <c r="L434" s="47"/>
      <c r="M434" s="47"/>
      <c r="N434" s="45"/>
    </row>
    <row r="435" customFormat="false" ht="18" hidden="false" customHeight="true" outlineLevel="0" collapsed="false">
      <c r="A435" s="44" t="str">
        <f aca="false">IF(B435="","",ROW()-4)</f>
        <v/>
      </c>
      <c r="B435" s="45"/>
      <c r="C435" s="46"/>
      <c r="D435" s="46"/>
      <c r="E435" s="47"/>
      <c r="F435" s="44" t="str">
        <f aca="true">IF(OR(B435="",E435="",C435="Done",C435="Cancelled"),"",E435-TODAY())</f>
        <v/>
      </c>
      <c r="G435" s="48" t="str">
        <f aca="true">IF(OR(B435="",C435="Done",C435="Cancelled"),"",IF(AND(E435&lt;&gt;"",E435&lt;TODAY()),"OVERDUE",IF(AND(E435&lt;&gt;"",E435=TODAY()),"DUE TODAY",IF(AND(K435&lt;&gt;"",K435&lt;=TODAY()),"FOLLOW UP",IF(AND(E435&lt;&gt;"",E435&lt;=TODAY()+3),"DUE SOON",IF(E435="","NO DUE DATE",""))))))</f>
        <v/>
      </c>
      <c r="H435" s="45"/>
      <c r="I435" s="46"/>
      <c r="J435" s="45"/>
      <c r="K435" s="47"/>
      <c r="L435" s="47"/>
      <c r="M435" s="47"/>
      <c r="N435" s="45"/>
    </row>
    <row r="436" customFormat="false" ht="18" hidden="false" customHeight="true" outlineLevel="0" collapsed="false">
      <c r="A436" s="44" t="str">
        <f aca="false">IF(B436="","",ROW()-4)</f>
        <v/>
      </c>
      <c r="B436" s="45"/>
      <c r="C436" s="46"/>
      <c r="D436" s="46"/>
      <c r="E436" s="47"/>
      <c r="F436" s="44" t="str">
        <f aca="true">IF(OR(B436="",E436="",C436="Done",C436="Cancelled"),"",E436-TODAY())</f>
        <v/>
      </c>
      <c r="G436" s="48" t="str">
        <f aca="true">IF(OR(B436="",C436="Done",C436="Cancelled"),"",IF(AND(E436&lt;&gt;"",E436&lt;TODAY()),"OVERDUE",IF(AND(E436&lt;&gt;"",E436=TODAY()),"DUE TODAY",IF(AND(K436&lt;&gt;"",K436&lt;=TODAY()),"FOLLOW UP",IF(AND(E436&lt;&gt;"",E436&lt;=TODAY()+3),"DUE SOON",IF(E436="","NO DUE DATE",""))))))</f>
        <v/>
      </c>
      <c r="H436" s="45"/>
      <c r="I436" s="46"/>
      <c r="J436" s="45"/>
      <c r="K436" s="47"/>
      <c r="L436" s="47"/>
      <c r="M436" s="47"/>
      <c r="N436" s="45"/>
    </row>
    <row r="437" customFormat="false" ht="18" hidden="false" customHeight="true" outlineLevel="0" collapsed="false">
      <c r="A437" s="44" t="str">
        <f aca="false">IF(B437="","",ROW()-4)</f>
        <v/>
      </c>
      <c r="B437" s="45"/>
      <c r="C437" s="46"/>
      <c r="D437" s="46"/>
      <c r="E437" s="47"/>
      <c r="F437" s="44" t="str">
        <f aca="true">IF(OR(B437="",E437="",C437="Done",C437="Cancelled"),"",E437-TODAY())</f>
        <v/>
      </c>
      <c r="G437" s="48" t="str">
        <f aca="true">IF(OR(B437="",C437="Done",C437="Cancelled"),"",IF(AND(E437&lt;&gt;"",E437&lt;TODAY()),"OVERDUE",IF(AND(E437&lt;&gt;"",E437=TODAY()),"DUE TODAY",IF(AND(K437&lt;&gt;"",K437&lt;=TODAY()),"FOLLOW UP",IF(AND(E437&lt;&gt;"",E437&lt;=TODAY()+3),"DUE SOON",IF(E437="","NO DUE DATE",""))))))</f>
        <v/>
      </c>
      <c r="H437" s="45"/>
      <c r="I437" s="46"/>
      <c r="J437" s="45"/>
      <c r="K437" s="47"/>
      <c r="L437" s="47"/>
      <c r="M437" s="47"/>
      <c r="N437" s="45"/>
    </row>
    <row r="438" customFormat="false" ht="18" hidden="false" customHeight="true" outlineLevel="0" collapsed="false">
      <c r="A438" s="44" t="str">
        <f aca="false">IF(B438="","",ROW()-4)</f>
        <v/>
      </c>
      <c r="B438" s="45"/>
      <c r="C438" s="46"/>
      <c r="D438" s="46"/>
      <c r="E438" s="47"/>
      <c r="F438" s="44" t="str">
        <f aca="true">IF(OR(B438="",E438="",C438="Done",C438="Cancelled"),"",E438-TODAY())</f>
        <v/>
      </c>
      <c r="G438" s="48" t="str">
        <f aca="true">IF(OR(B438="",C438="Done",C438="Cancelled"),"",IF(AND(E438&lt;&gt;"",E438&lt;TODAY()),"OVERDUE",IF(AND(E438&lt;&gt;"",E438=TODAY()),"DUE TODAY",IF(AND(K438&lt;&gt;"",K438&lt;=TODAY()),"FOLLOW UP",IF(AND(E438&lt;&gt;"",E438&lt;=TODAY()+3),"DUE SOON",IF(E438="","NO DUE DATE",""))))))</f>
        <v/>
      </c>
      <c r="H438" s="45"/>
      <c r="I438" s="46"/>
      <c r="J438" s="45"/>
      <c r="K438" s="47"/>
      <c r="L438" s="47"/>
      <c r="M438" s="47"/>
      <c r="N438" s="45"/>
    </row>
    <row r="439" customFormat="false" ht="18" hidden="false" customHeight="true" outlineLevel="0" collapsed="false">
      <c r="A439" s="44" t="str">
        <f aca="false">IF(B439="","",ROW()-4)</f>
        <v/>
      </c>
      <c r="B439" s="45"/>
      <c r="C439" s="46"/>
      <c r="D439" s="46"/>
      <c r="E439" s="47"/>
      <c r="F439" s="44" t="str">
        <f aca="true">IF(OR(B439="",E439="",C439="Done",C439="Cancelled"),"",E439-TODAY())</f>
        <v/>
      </c>
      <c r="G439" s="48" t="str">
        <f aca="true">IF(OR(B439="",C439="Done",C439="Cancelled"),"",IF(AND(E439&lt;&gt;"",E439&lt;TODAY()),"OVERDUE",IF(AND(E439&lt;&gt;"",E439=TODAY()),"DUE TODAY",IF(AND(K439&lt;&gt;"",K439&lt;=TODAY()),"FOLLOW UP",IF(AND(E439&lt;&gt;"",E439&lt;=TODAY()+3),"DUE SOON",IF(E439="","NO DUE DATE",""))))))</f>
        <v/>
      </c>
      <c r="H439" s="45"/>
      <c r="I439" s="46"/>
      <c r="J439" s="45"/>
      <c r="K439" s="47"/>
      <c r="L439" s="47"/>
      <c r="M439" s="47"/>
      <c r="N439" s="45"/>
    </row>
    <row r="440" customFormat="false" ht="18" hidden="false" customHeight="true" outlineLevel="0" collapsed="false">
      <c r="A440" s="44" t="str">
        <f aca="false">IF(B440="","",ROW()-4)</f>
        <v/>
      </c>
      <c r="B440" s="45"/>
      <c r="C440" s="46"/>
      <c r="D440" s="46"/>
      <c r="E440" s="47"/>
      <c r="F440" s="44" t="str">
        <f aca="true">IF(OR(B440="",E440="",C440="Done",C440="Cancelled"),"",E440-TODAY())</f>
        <v/>
      </c>
      <c r="G440" s="48" t="str">
        <f aca="true">IF(OR(B440="",C440="Done",C440="Cancelled"),"",IF(AND(E440&lt;&gt;"",E440&lt;TODAY()),"OVERDUE",IF(AND(E440&lt;&gt;"",E440=TODAY()),"DUE TODAY",IF(AND(K440&lt;&gt;"",K440&lt;=TODAY()),"FOLLOW UP",IF(AND(E440&lt;&gt;"",E440&lt;=TODAY()+3),"DUE SOON",IF(E440="","NO DUE DATE",""))))))</f>
        <v/>
      </c>
      <c r="H440" s="45"/>
      <c r="I440" s="46"/>
      <c r="J440" s="45"/>
      <c r="K440" s="47"/>
      <c r="L440" s="47"/>
      <c r="M440" s="47"/>
      <c r="N440" s="45"/>
    </row>
    <row r="441" customFormat="false" ht="18" hidden="false" customHeight="true" outlineLevel="0" collapsed="false">
      <c r="A441" s="44" t="str">
        <f aca="false">IF(B441="","",ROW()-4)</f>
        <v/>
      </c>
      <c r="B441" s="45"/>
      <c r="C441" s="46"/>
      <c r="D441" s="46"/>
      <c r="E441" s="47"/>
      <c r="F441" s="44" t="str">
        <f aca="true">IF(OR(B441="",E441="",C441="Done",C441="Cancelled"),"",E441-TODAY())</f>
        <v/>
      </c>
      <c r="G441" s="48" t="str">
        <f aca="true">IF(OR(B441="",C441="Done",C441="Cancelled"),"",IF(AND(E441&lt;&gt;"",E441&lt;TODAY()),"OVERDUE",IF(AND(E441&lt;&gt;"",E441=TODAY()),"DUE TODAY",IF(AND(K441&lt;&gt;"",K441&lt;=TODAY()),"FOLLOW UP",IF(AND(E441&lt;&gt;"",E441&lt;=TODAY()+3),"DUE SOON",IF(E441="","NO DUE DATE",""))))))</f>
        <v/>
      </c>
      <c r="H441" s="45"/>
      <c r="I441" s="46"/>
      <c r="J441" s="45"/>
      <c r="K441" s="47"/>
      <c r="L441" s="47"/>
      <c r="M441" s="47"/>
      <c r="N441" s="45"/>
    </row>
    <row r="442" customFormat="false" ht="18" hidden="false" customHeight="true" outlineLevel="0" collapsed="false">
      <c r="A442" s="44" t="str">
        <f aca="false">IF(B442="","",ROW()-4)</f>
        <v/>
      </c>
      <c r="B442" s="45"/>
      <c r="C442" s="46"/>
      <c r="D442" s="46"/>
      <c r="E442" s="47"/>
      <c r="F442" s="44" t="str">
        <f aca="true">IF(OR(B442="",E442="",C442="Done",C442="Cancelled"),"",E442-TODAY())</f>
        <v/>
      </c>
      <c r="G442" s="48" t="str">
        <f aca="true">IF(OR(B442="",C442="Done",C442="Cancelled"),"",IF(AND(E442&lt;&gt;"",E442&lt;TODAY()),"OVERDUE",IF(AND(E442&lt;&gt;"",E442=TODAY()),"DUE TODAY",IF(AND(K442&lt;&gt;"",K442&lt;=TODAY()),"FOLLOW UP",IF(AND(E442&lt;&gt;"",E442&lt;=TODAY()+3),"DUE SOON",IF(E442="","NO DUE DATE",""))))))</f>
        <v/>
      </c>
      <c r="H442" s="45"/>
      <c r="I442" s="46"/>
      <c r="J442" s="45"/>
      <c r="K442" s="47"/>
      <c r="L442" s="47"/>
      <c r="M442" s="47"/>
      <c r="N442" s="45"/>
    </row>
    <row r="443" customFormat="false" ht="18" hidden="false" customHeight="true" outlineLevel="0" collapsed="false">
      <c r="A443" s="44" t="str">
        <f aca="false">IF(B443="","",ROW()-4)</f>
        <v/>
      </c>
      <c r="B443" s="45"/>
      <c r="C443" s="46"/>
      <c r="D443" s="46"/>
      <c r="E443" s="47"/>
      <c r="F443" s="44" t="str">
        <f aca="true">IF(OR(B443="",E443="",C443="Done",C443="Cancelled"),"",E443-TODAY())</f>
        <v/>
      </c>
      <c r="G443" s="48" t="str">
        <f aca="true">IF(OR(B443="",C443="Done",C443="Cancelled"),"",IF(AND(E443&lt;&gt;"",E443&lt;TODAY()),"OVERDUE",IF(AND(E443&lt;&gt;"",E443=TODAY()),"DUE TODAY",IF(AND(K443&lt;&gt;"",K443&lt;=TODAY()),"FOLLOW UP",IF(AND(E443&lt;&gt;"",E443&lt;=TODAY()+3),"DUE SOON",IF(E443="","NO DUE DATE",""))))))</f>
        <v/>
      </c>
      <c r="H443" s="45"/>
      <c r="I443" s="46"/>
      <c r="J443" s="45"/>
      <c r="K443" s="47"/>
      <c r="L443" s="47"/>
      <c r="M443" s="47"/>
      <c r="N443" s="45"/>
    </row>
    <row r="444" customFormat="false" ht="18" hidden="false" customHeight="true" outlineLevel="0" collapsed="false">
      <c r="A444" s="44" t="str">
        <f aca="false">IF(B444="","",ROW()-4)</f>
        <v/>
      </c>
      <c r="B444" s="45"/>
      <c r="C444" s="46"/>
      <c r="D444" s="46"/>
      <c r="E444" s="47"/>
      <c r="F444" s="44" t="str">
        <f aca="true">IF(OR(B444="",E444="",C444="Done",C444="Cancelled"),"",E444-TODAY())</f>
        <v/>
      </c>
      <c r="G444" s="48" t="str">
        <f aca="true">IF(OR(B444="",C444="Done",C444="Cancelled"),"",IF(AND(E444&lt;&gt;"",E444&lt;TODAY()),"OVERDUE",IF(AND(E444&lt;&gt;"",E444=TODAY()),"DUE TODAY",IF(AND(K444&lt;&gt;"",K444&lt;=TODAY()),"FOLLOW UP",IF(AND(E444&lt;&gt;"",E444&lt;=TODAY()+3),"DUE SOON",IF(E444="","NO DUE DATE",""))))))</f>
        <v/>
      </c>
      <c r="H444" s="45"/>
      <c r="I444" s="46"/>
      <c r="J444" s="45"/>
      <c r="K444" s="47"/>
      <c r="L444" s="47"/>
      <c r="M444" s="47"/>
      <c r="N444" s="45"/>
    </row>
    <row r="445" customFormat="false" ht="18" hidden="false" customHeight="true" outlineLevel="0" collapsed="false">
      <c r="A445" s="44" t="str">
        <f aca="false">IF(B445="","",ROW()-4)</f>
        <v/>
      </c>
      <c r="B445" s="45"/>
      <c r="C445" s="46"/>
      <c r="D445" s="46"/>
      <c r="E445" s="47"/>
      <c r="F445" s="44" t="str">
        <f aca="true">IF(OR(B445="",E445="",C445="Done",C445="Cancelled"),"",E445-TODAY())</f>
        <v/>
      </c>
      <c r="G445" s="48" t="str">
        <f aca="true">IF(OR(B445="",C445="Done",C445="Cancelled"),"",IF(AND(E445&lt;&gt;"",E445&lt;TODAY()),"OVERDUE",IF(AND(E445&lt;&gt;"",E445=TODAY()),"DUE TODAY",IF(AND(K445&lt;&gt;"",K445&lt;=TODAY()),"FOLLOW UP",IF(AND(E445&lt;&gt;"",E445&lt;=TODAY()+3),"DUE SOON",IF(E445="","NO DUE DATE",""))))))</f>
        <v/>
      </c>
      <c r="H445" s="45"/>
      <c r="I445" s="46"/>
      <c r="J445" s="45"/>
      <c r="K445" s="47"/>
      <c r="L445" s="47"/>
      <c r="M445" s="47"/>
      <c r="N445" s="45"/>
    </row>
    <row r="446" customFormat="false" ht="18" hidden="false" customHeight="true" outlineLevel="0" collapsed="false">
      <c r="A446" s="44" t="str">
        <f aca="false">IF(B446="","",ROW()-4)</f>
        <v/>
      </c>
      <c r="B446" s="45"/>
      <c r="C446" s="46"/>
      <c r="D446" s="46"/>
      <c r="E446" s="47"/>
      <c r="F446" s="44" t="str">
        <f aca="true">IF(OR(B446="",E446="",C446="Done",C446="Cancelled"),"",E446-TODAY())</f>
        <v/>
      </c>
      <c r="G446" s="48" t="str">
        <f aca="true">IF(OR(B446="",C446="Done",C446="Cancelled"),"",IF(AND(E446&lt;&gt;"",E446&lt;TODAY()),"OVERDUE",IF(AND(E446&lt;&gt;"",E446=TODAY()),"DUE TODAY",IF(AND(K446&lt;&gt;"",K446&lt;=TODAY()),"FOLLOW UP",IF(AND(E446&lt;&gt;"",E446&lt;=TODAY()+3),"DUE SOON",IF(E446="","NO DUE DATE",""))))))</f>
        <v/>
      </c>
      <c r="H446" s="45"/>
      <c r="I446" s="46"/>
      <c r="J446" s="45"/>
      <c r="K446" s="47"/>
      <c r="L446" s="47"/>
      <c r="M446" s="47"/>
      <c r="N446" s="45"/>
    </row>
    <row r="447" customFormat="false" ht="18" hidden="false" customHeight="true" outlineLevel="0" collapsed="false">
      <c r="A447" s="44" t="str">
        <f aca="false">IF(B447="","",ROW()-4)</f>
        <v/>
      </c>
      <c r="B447" s="45"/>
      <c r="C447" s="46"/>
      <c r="D447" s="46"/>
      <c r="E447" s="47"/>
      <c r="F447" s="44" t="str">
        <f aca="true">IF(OR(B447="",E447="",C447="Done",C447="Cancelled"),"",E447-TODAY())</f>
        <v/>
      </c>
      <c r="G447" s="48" t="str">
        <f aca="true">IF(OR(B447="",C447="Done",C447="Cancelled"),"",IF(AND(E447&lt;&gt;"",E447&lt;TODAY()),"OVERDUE",IF(AND(E447&lt;&gt;"",E447=TODAY()),"DUE TODAY",IF(AND(K447&lt;&gt;"",K447&lt;=TODAY()),"FOLLOW UP",IF(AND(E447&lt;&gt;"",E447&lt;=TODAY()+3),"DUE SOON",IF(E447="","NO DUE DATE",""))))))</f>
        <v/>
      </c>
      <c r="H447" s="45"/>
      <c r="I447" s="46"/>
      <c r="J447" s="45"/>
      <c r="K447" s="47"/>
      <c r="L447" s="47"/>
      <c r="M447" s="47"/>
      <c r="N447" s="45"/>
    </row>
    <row r="448" customFormat="false" ht="18" hidden="false" customHeight="true" outlineLevel="0" collapsed="false">
      <c r="A448" s="44" t="str">
        <f aca="false">IF(B448="","",ROW()-4)</f>
        <v/>
      </c>
      <c r="B448" s="45"/>
      <c r="C448" s="46"/>
      <c r="D448" s="46"/>
      <c r="E448" s="47"/>
      <c r="F448" s="44" t="str">
        <f aca="true">IF(OR(B448="",E448="",C448="Done",C448="Cancelled"),"",E448-TODAY())</f>
        <v/>
      </c>
      <c r="G448" s="48" t="str">
        <f aca="true">IF(OR(B448="",C448="Done",C448="Cancelled"),"",IF(AND(E448&lt;&gt;"",E448&lt;TODAY()),"OVERDUE",IF(AND(E448&lt;&gt;"",E448=TODAY()),"DUE TODAY",IF(AND(K448&lt;&gt;"",K448&lt;=TODAY()),"FOLLOW UP",IF(AND(E448&lt;&gt;"",E448&lt;=TODAY()+3),"DUE SOON",IF(E448="","NO DUE DATE",""))))))</f>
        <v/>
      </c>
      <c r="H448" s="45"/>
      <c r="I448" s="46"/>
      <c r="J448" s="45"/>
      <c r="K448" s="47"/>
      <c r="L448" s="47"/>
      <c r="M448" s="47"/>
      <c r="N448" s="45"/>
    </row>
    <row r="449" customFormat="false" ht="18" hidden="false" customHeight="true" outlineLevel="0" collapsed="false">
      <c r="A449" s="44" t="str">
        <f aca="false">IF(B449="","",ROW()-4)</f>
        <v/>
      </c>
      <c r="B449" s="45"/>
      <c r="C449" s="46"/>
      <c r="D449" s="46"/>
      <c r="E449" s="47"/>
      <c r="F449" s="44" t="str">
        <f aca="true">IF(OR(B449="",E449="",C449="Done",C449="Cancelled"),"",E449-TODAY())</f>
        <v/>
      </c>
      <c r="G449" s="48" t="str">
        <f aca="true">IF(OR(B449="",C449="Done",C449="Cancelled"),"",IF(AND(E449&lt;&gt;"",E449&lt;TODAY()),"OVERDUE",IF(AND(E449&lt;&gt;"",E449=TODAY()),"DUE TODAY",IF(AND(K449&lt;&gt;"",K449&lt;=TODAY()),"FOLLOW UP",IF(AND(E449&lt;&gt;"",E449&lt;=TODAY()+3),"DUE SOON",IF(E449="","NO DUE DATE",""))))))</f>
        <v/>
      </c>
      <c r="H449" s="45"/>
      <c r="I449" s="46"/>
      <c r="J449" s="45"/>
      <c r="K449" s="47"/>
      <c r="L449" s="47"/>
      <c r="M449" s="47"/>
      <c r="N449" s="45"/>
    </row>
    <row r="450" customFormat="false" ht="18" hidden="false" customHeight="true" outlineLevel="0" collapsed="false">
      <c r="A450" s="44" t="str">
        <f aca="false">IF(B450="","",ROW()-4)</f>
        <v/>
      </c>
      <c r="B450" s="45"/>
      <c r="C450" s="46"/>
      <c r="D450" s="46"/>
      <c r="E450" s="47"/>
      <c r="F450" s="44" t="str">
        <f aca="true">IF(OR(B450="",E450="",C450="Done",C450="Cancelled"),"",E450-TODAY())</f>
        <v/>
      </c>
      <c r="G450" s="48" t="str">
        <f aca="true">IF(OR(B450="",C450="Done",C450="Cancelled"),"",IF(AND(E450&lt;&gt;"",E450&lt;TODAY()),"OVERDUE",IF(AND(E450&lt;&gt;"",E450=TODAY()),"DUE TODAY",IF(AND(K450&lt;&gt;"",K450&lt;=TODAY()),"FOLLOW UP",IF(AND(E450&lt;&gt;"",E450&lt;=TODAY()+3),"DUE SOON",IF(E450="","NO DUE DATE",""))))))</f>
        <v/>
      </c>
      <c r="H450" s="45"/>
      <c r="I450" s="46"/>
      <c r="J450" s="45"/>
      <c r="K450" s="47"/>
      <c r="L450" s="47"/>
      <c r="M450" s="47"/>
      <c r="N450" s="45"/>
    </row>
    <row r="451" customFormat="false" ht="18" hidden="false" customHeight="true" outlineLevel="0" collapsed="false">
      <c r="A451" s="44" t="str">
        <f aca="false">IF(B451="","",ROW()-4)</f>
        <v/>
      </c>
      <c r="B451" s="45"/>
      <c r="C451" s="46"/>
      <c r="D451" s="46"/>
      <c r="E451" s="47"/>
      <c r="F451" s="44" t="str">
        <f aca="true">IF(OR(B451="",E451="",C451="Done",C451="Cancelled"),"",E451-TODAY())</f>
        <v/>
      </c>
      <c r="G451" s="48" t="str">
        <f aca="true">IF(OR(B451="",C451="Done",C451="Cancelled"),"",IF(AND(E451&lt;&gt;"",E451&lt;TODAY()),"OVERDUE",IF(AND(E451&lt;&gt;"",E451=TODAY()),"DUE TODAY",IF(AND(K451&lt;&gt;"",K451&lt;=TODAY()),"FOLLOW UP",IF(AND(E451&lt;&gt;"",E451&lt;=TODAY()+3),"DUE SOON",IF(E451="","NO DUE DATE",""))))))</f>
        <v/>
      </c>
      <c r="H451" s="45"/>
      <c r="I451" s="46"/>
      <c r="J451" s="45"/>
      <c r="K451" s="47"/>
      <c r="L451" s="47"/>
      <c r="M451" s="47"/>
      <c r="N451" s="45"/>
    </row>
    <row r="452" customFormat="false" ht="18" hidden="false" customHeight="true" outlineLevel="0" collapsed="false">
      <c r="A452" s="44" t="str">
        <f aca="false">IF(B452="","",ROW()-4)</f>
        <v/>
      </c>
      <c r="B452" s="45"/>
      <c r="C452" s="46"/>
      <c r="D452" s="46"/>
      <c r="E452" s="47"/>
      <c r="F452" s="44" t="str">
        <f aca="true">IF(OR(B452="",E452="",C452="Done",C452="Cancelled"),"",E452-TODAY())</f>
        <v/>
      </c>
      <c r="G452" s="48" t="str">
        <f aca="true">IF(OR(B452="",C452="Done",C452="Cancelled"),"",IF(AND(E452&lt;&gt;"",E452&lt;TODAY()),"OVERDUE",IF(AND(E452&lt;&gt;"",E452=TODAY()),"DUE TODAY",IF(AND(K452&lt;&gt;"",K452&lt;=TODAY()),"FOLLOW UP",IF(AND(E452&lt;&gt;"",E452&lt;=TODAY()+3),"DUE SOON",IF(E452="","NO DUE DATE",""))))))</f>
        <v/>
      </c>
      <c r="H452" s="45"/>
      <c r="I452" s="46"/>
      <c r="J452" s="45"/>
      <c r="K452" s="47"/>
      <c r="L452" s="47"/>
      <c r="M452" s="47"/>
      <c r="N452" s="45"/>
    </row>
    <row r="453" customFormat="false" ht="18" hidden="false" customHeight="true" outlineLevel="0" collapsed="false">
      <c r="A453" s="44" t="str">
        <f aca="false">IF(B453="","",ROW()-4)</f>
        <v/>
      </c>
      <c r="B453" s="45"/>
      <c r="C453" s="46"/>
      <c r="D453" s="46"/>
      <c r="E453" s="47"/>
      <c r="F453" s="44" t="str">
        <f aca="true">IF(OR(B453="",E453="",C453="Done",C453="Cancelled"),"",E453-TODAY())</f>
        <v/>
      </c>
      <c r="G453" s="48" t="str">
        <f aca="true">IF(OR(B453="",C453="Done",C453="Cancelled"),"",IF(AND(E453&lt;&gt;"",E453&lt;TODAY()),"OVERDUE",IF(AND(E453&lt;&gt;"",E453=TODAY()),"DUE TODAY",IF(AND(K453&lt;&gt;"",K453&lt;=TODAY()),"FOLLOW UP",IF(AND(E453&lt;&gt;"",E453&lt;=TODAY()+3),"DUE SOON",IF(E453="","NO DUE DATE",""))))))</f>
        <v/>
      </c>
      <c r="H453" s="45"/>
      <c r="I453" s="46"/>
      <c r="J453" s="45"/>
      <c r="K453" s="47"/>
      <c r="L453" s="47"/>
      <c r="M453" s="47"/>
      <c r="N453" s="45"/>
    </row>
    <row r="454" customFormat="false" ht="18" hidden="false" customHeight="true" outlineLevel="0" collapsed="false">
      <c r="A454" s="44" t="str">
        <f aca="false">IF(B454="","",ROW()-4)</f>
        <v/>
      </c>
      <c r="B454" s="45"/>
      <c r="C454" s="46"/>
      <c r="D454" s="46"/>
      <c r="E454" s="47"/>
      <c r="F454" s="44" t="str">
        <f aca="true">IF(OR(B454="",E454="",C454="Done",C454="Cancelled"),"",E454-TODAY())</f>
        <v/>
      </c>
      <c r="G454" s="48" t="str">
        <f aca="true">IF(OR(B454="",C454="Done",C454="Cancelled"),"",IF(AND(E454&lt;&gt;"",E454&lt;TODAY()),"OVERDUE",IF(AND(E454&lt;&gt;"",E454=TODAY()),"DUE TODAY",IF(AND(K454&lt;&gt;"",K454&lt;=TODAY()),"FOLLOW UP",IF(AND(E454&lt;&gt;"",E454&lt;=TODAY()+3),"DUE SOON",IF(E454="","NO DUE DATE",""))))))</f>
        <v/>
      </c>
      <c r="H454" s="45"/>
      <c r="I454" s="46"/>
      <c r="J454" s="45"/>
      <c r="K454" s="47"/>
      <c r="L454" s="47"/>
      <c r="M454" s="47"/>
      <c r="N454" s="45"/>
    </row>
    <row r="455" customFormat="false" ht="18" hidden="false" customHeight="true" outlineLevel="0" collapsed="false">
      <c r="A455" s="44" t="str">
        <f aca="false">IF(B455="","",ROW()-4)</f>
        <v/>
      </c>
      <c r="B455" s="45"/>
      <c r="C455" s="46"/>
      <c r="D455" s="46"/>
      <c r="E455" s="47"/>
      <c r="F455" s="44" t="str">
        <f aca="true">IF(OR(B455="",E455="",C455="Done",C455="Cancelled"),"",E455-TODAY())</f>
        <v/>
      </c>
      <c r="G455" s="48" t="str">
        <f aca="true">IF(OR(B455="",C455="Done",C455="Cancelled"),"",IF(AND(E455&lt;&gt;"",E455&lt;TODAY()),"OVERDUE",IF(AND(E455&lt;&gt;"",E455=TODAY()),"DUE TODAY",IF(AND(K455&lt;&gt;"",K455&lt;=TODAY()),"FOLLOW UP",IF(AND(E455&lt;&gt;"",E455&lt;=TODAY()+3),"DUE SOON",IF(E455="","NO DUE DATE",""))))))</f>
        <v/>
      </c>
      <c r="H455" s="45"/>
      <c r="I455" s="46"/>
      <c r="J455" s="45"/>
      <c r="K455" s="47"/>
      <c r="L455" s="47"/>
      <c r="M455" s="47"/>
      <c r="N455" s="45"/>
    </row>
    <row r="456" customFormat="false" ht="18" hidden="false" customHeight="true" outlineLevel="0" collapsed="false">
      <c r="A456" s="44" t="str">
        <f aca="false">IF(B456="","",ROW()-4)</f>
        <v/>
      </c>
      <c r="B456" s="45"/>
      <c r="C456" s="46"/>
      <c r="D456" s="46"/>
      <c r="E456" s="47"/>
      <c r="F456" s="44" t="str">
        <f aca="true">IF(OR(B456="",E456="",C456="Done",C456="Cancelled"),"",E456-TODAY())</f>
        <v/>
      </c>
      <c r="G456" s="48" t="str">
        <f aca="true">IF(OR(B456="",C456="Done",C456="Cancelled"),"",IF(AND(E456&lt;&gt;"",E456&lt;TODAY()),"OVERDUE",IF(AND(E456&lt;&gt;"",E456=TODAY()),"DUE TODAY",IF(AND(K456&lt;&gt;"",K456&lt;=TODAY()),"FOLLOW UP",IF(AND(E456&lt;&gt;"",E456&lt;=TODAY()+3),"DUE SOON",IF(E456="","NO DUE DATE",""))))))</f>
        <v/>
      </c>
      <c r="H456" s="45"/>
      <c r="I456" s="46"/>
      <c r="J456" s="45"/>
      <c r="K456" s="47"/>
      <c r="L456" s="47"/>
      <c r="M456" s="47"/>
      <c r="N456" s="45"/>
    </row>
    <row r="457" customFormat="false" ht="18" hidden="false" customHeight="true" outlineLevel="0" collapsed="false">
      <c r="A457" s="44" t="str">
        <f aca="false">IF(B457="","",ROW()-4)</f>
        <v/>
      </c>
      <c r="B457" s="45"/>
      <c r="C457" s="46"/>
      <c r="D457" s="46"/>
      <c r="E457" s="47"/>
      <c r="F457" s="44" t="str">
        <f aca="true">IF(OR(B457="",E457="",C457="Done",C457="Cancelled"),"",E457-TODAY())</f>
        <v/>
      </c>
      <c r="G457" s="48" t="str">
        <f aca="true">IF(OR(B457="",C457="Done",C457="Cancelled"),"",IF(AND(E457&lt;&gt;"",E457&lt;TODAY()),"OVERDUE",IF(AND(E457&lt;&gt;"",E457=TODAY()),"DUE TODAY",IF(AND(K457&lt;&gt;"",K457&lt;=TODAY()),"FOLLOW UP",IF(AND(E457&lt;&gt;"",E457&lt;=TODAY()+3),"DUE SOON",IF(E457="","NO DUE DATE",""))))))</f>
        <v/>
      </c>
      <c r="H457" s="45"/>
      <c r="I457" s="46"/>
      <c r="J457" s="45"/>
      <c r="K457" s="47"/>
      <c r="L457" s="47"/>
      <c r="M457" s="47"/>
      <c r="N457" s="45"/>
    </row>
    <row r="458" customFormat="false" ht="18" hidden="false" customHeight="true" outlineLevel="0" collapsed="false">
      <c r="A458" s="44" t="str">
        <f aca="false">IF(B458="","",ROW()-4)</f>
        <v/>
      </c>
      <c r="B458" s="45"/>
      <c r="C458" s="46"/>
      <c r="D458" s="46"/>
      <c r="E458" s="47"/>
      <c r="F458" s="44" t="str">
        <f aca="true">IF(OR(B458="",E458="",C458="Done",C458="Cancelled"),"",E458-TODAY())</f>
        <v/>
      </c>
      <c r="G458" s="48" t="str">
        <f aca="true">IF(OR(B458="",C458="Done",C458="Cancelled"),"",IF(AND(E458&lt;&gt;"",E458&lt;TODAY()),"OVERDUE",IF(AND(E458&lt;&gt;"",E458=TODAY()),"DUE TODAY",IF(AND(K458&lt;&gt;"",K458&lt;=TODAY()),"FOLLOW UP",IF(AND(E458&lt;&gt;"",E458&lt;=TODAY()+3),"DUE SOON",IF(E458="","NO DUE DATE",""))))))</f>
        <v/>
      </c>
      <c r="H458" s="45"/>
      <c r="I458" s="46"/>
      <c r="J458" s="45"/>
      <c r="K458" s="47"/>
      <c r="L458" s="47"/>
      <c r="M458" s="47"/>
      <c r="N458" s="45"/>
    </row>
    <row r="459" customFormat="false" ht="18" hidden="false" customHeight="true" outlineLevel="0" collapsed="false">
      <c r="A459" s="44" t="str">
        <f aca="false">IF(B459="","",ROW()-4)</f>
        <v/>
      </c>
      <c r="B459" s="45"/>
      <c r="C459" s="46"/>
      <c r="D459" s="46"/>
      <c r="E459" s="47"/>
      <c r="F459" s="44" t="str">
        <f aca="true">IF(OR(B459="",E459="",C459="Done",C459="Cancelled"),"",E459-TODAY())</f>
        <v/>
      </c>
      <c r="G459" s="48" t="str">
        <f aca="true">IF(OR(B459="",C459="Done",C459="Cancelled"),"",IF(AND(E459&lt;&gt;"",E459&lt;TODAY()),"OVERDUE",IF(AND(E459&lt;&gt;"",E459=TODAY()),"DUE TODAY",IF(AND(K459&lt;&gt;"",K459&lt;=TODAY()),"FOLLOW UP",IF(AND(E459&lt;&gt;"",E459&lt;=TODAY()+3),"DUE SOON",IF(E459="","NO DUE DATE",""))))))</f>
        <v/>
      </c>
      <c r="H459" s="45"/>
      <c r="I459" s="46"/>
      <c r="J459" s="45"/>
      <c r="K459" s="47"/>
      <c r="L459" s="47"/>
      <c r="M459" s="47"/>
      <c r="N459" s="45"/>
    </row>
    <row r="460" customFormat="false" ht="18" hidden="false" customHeight="true" outlineLevel="0" collapsed="false">
      <c r="A460" s="44" t="str">
        <f aca="false">IF(B460="","",ROW()-4)</f>
        <v/>
      </c>
      <c r="B460" s="45"/>
      <c r="C460" s="46"/>
      <c r="D460" s="46"/>
      <c r="E460" s="47"/>
      <c r="F460" s="44" t="str">
        <f aca="true">IF(OR(B460="",E460="",C460="Done",C460="Cancelled"),"",E460-TODAY())</f>
        <v/>
      </c>
      <c r="G460" s="48" t="str">
        <f aca="true">IF(OR(B460="",C460="Done",C460="Cancelled"),"",IF(AND(E460&lt;&gt;"",E460&lt;TODAY()),"OVERDUE",IF(AND(E460&lt;&gt;"",E460=TODAY()),"DUE TODAY",IF(AND(K460&lt;&gt;"",K460&lt;=TODAY()),"FOLLOW UP",IF(AND(E460&lt;&gt;"",E460&lt;=TODAY()+3),"DUE SOON",IF(E460="","NO DUE DATE",""))))))</f>
        <v/>
      </c>
      <c r="H460" s="45"/>
      <c r="I460" s="46"/>
      <c r="J460" s="45"/>
      <c r="K460" s="47"/>
      <c r="L460" s="47"/>
      <c r="M460" s="47"/>
      <c r="N460" s="45"/>
    </row>
    <row r="461" customFormat="false" ht="18" hidden="false" customHeight="true" outlineLevel="0" collapsed="false">
      <c r="A461" s="44" t="str">
        <f aca="false">IF(B461="","",ROW()-4)</f>
        <v/>
      </c>
      <c r="B461" s="45"/>
      <c r="C461" s="46"/>
      <c r="D461" s="46"/>
      <c r="E461" s="47"/>
      <c r="F461" s="44" t="str">
        <f aca="true">IF(OR(B461="",E461="",C461="Done",C461="Cancelled"),"",E461-TODAY())</f>
        <v/>
      </c>
      <c r="G461" s="48" t="str">
        <f aca="true">IF(OR(B461="",C461="Done",C461="Cancelled"),"",IF(AND(E461&lt;&gt;"",E461&lt;TODAY()),"OVERDUE",IF(AND(E461&lt;&gt;"",E461=TODAY()),"DUE TODAY",IF(AND(K461&lt;&gt;"",K461&lt;=TODAY()),"FOLLOW UP",IF(AND(E461&lt;&gt;"",E461&lt;=TODAY()+3),"DUE SOON",IF(E461="","NO DUE DATE",""))))))</f>
        <v/>
      </c>
      <c r="H461" s="45"/>
      <c r="I461" s="46"/>
      <c r="J461" s="45"/>
      <c r="K461" s="47"/>
      <c r="L461" s="47"/>
      <c r="M461" s="47"/>
      <c r="N461" s="45"/>
    </row>
    <row r="462" customFormat="false" ht="18" hidden="false" customHeight="true" outlineLevel="0" collapsed="false">
      <c r="A462" s="44" t="str">
        <f aca="false">IF(B462="","",ROW()-4)</f>
        <v/>
      </c>
      <c r="B462" s="45"/>
      <c r="C462" s="46"/>
      <c r="D462" s="46"/>
      <c r="E462" s="47"/>
      <c r="F462" s="44" t="str">
        <f aca="true">IF(OR(B462="",E462="",C462="Done",C462="Cancelled"),"",E462-TODAY())</f>
        <v/>
      </c>
      <c r="G462" s="48" t="str">
        <f aca="true">IF(OR(B462="",C462="Done",C462="Cancelled"),"",IF(AND(E462&lt;&gt;"",E462&lt;TODAY()),"OVERDUE",IF(AND(E462&lt;&gt;"",E462=TODAY()),"DUE TODAY",IF(AND(K462&lt;&gt;"",K462&lt;=TODAY()),"FOLLOW UP",IF(AND(E462&lt;&gt;"",E462&lt;=TODAY()+3),"DUE SOON",IF(E462="","NO DUE DATE",""))))))</f>
        <v/>
      </c>
      <c r="H462" s="45"/>
      <c r="I462" s="46"/>
      <c r="J462" s="45"/>
      <c r="K462" s="47"/>
      <c r="L462" s="47"/>
      <c r="M462" s="47"/>
      <c r="N462" s="45"/>
    </row>
    <row r="463" customFormat="false" ht="18" hidden="false" customHeight="true" outlineLevel="0" collapsed="false">
      <c r="A463" s="44" t="str">
        <f aca="false">IF(B463="","",ROW()-4)</f>
        <v/>
      </c>
      <c r="B463" s="45"/>
      <c r="C463" s="46"/>
      <c r="D463" s="46"/>
      <c r="E463" s="47"/>
      <c r="F463" s="44" t="str">
        <f aca="true">IF(OR(B463="",E463="",C463="Done",C463="Cancelled"),"",E463-TODAY())</f>
        <v/>
      </c>
      <c r="G463" s="48" t="str">
        <f aca="true">IF(OR(B463="",C463="Done",C463="Cancelled"),"",IF(AND(E463&lt;&gt;"",E463&lt;TODAY()),"OVERDUE",IF(AND(E463&lt;&gt;"",E463=TODAY()),"DUE TODAY",IF(AND(K463&lt;&gt;"",K463&lt;=TODAY()),"FOLLOW UP",IF(AND(E463&lt;&gt;"",E463&lt;=TODAY()+3),"DUE SOON",IF(E463="","NO DUE DATE",""))))))</f>
        <v/>
      </c>
      <c r="H463" s="45"/>
      <c r="I463" s="46"/>
      <c r="J463" s="45"/>
      <c r="K463" s="47"/>
      <c r="L463" s="47"/>
      <c r="M463" s="47"/>
      <c r="N463" s="45"/>
    </row>
    <row r="464" customFormat="false" ht="18" hidden="false" customHeight="true" outlineLevel="0" collapsed="false">
      <c r="A464" s="44" t="str">
        <f aca="false">IF(B464="","",ROW()-4)</f>
        <v/>
      </c>
      <c r="B464" s="45"/>
      <c r="C464" s="46"/>
      <c r="D464" s="46"/>
      <c r="E464" s="47"/>
      <c r="F464" s="44" t="str">
        <f aca="true">IF(OR(B464="",E464="",C464="Done",C464="Cancelled"),"",E464-TODAY())</f>
        <v/>
      </c>
      <c r="G464" s="48" t="str">
        <f aca="true">IF(OR(B464="",C464="Done",C464="Cancelled"),"",IF(AND(E464&lt;&gt;"",E464&lt;TODAY()),"OVERDUE",IF(AND(E464&lt;&gt;"",E464=TODAY()),"DUE TODAY",IF(AND(K464&lt;&gt;"",K464&lt;=TODAY()),"FOLLOW UP",IF(AND(E464&lt;&gt;"",E464&lt;=TODAY()+3),"DUE SOON",IF(E464="","NO DUE DATE",""))))))</f>
        <v/>
      </c>
      <c r="H464" s="45"/>
      <c r="I464" s="46"/>
      <c r="J464" s="45"/>
      <c r="K464" s="47"/>
      <c r="L464" s="47"/>
      <c r="M464" s="47"/>
      <c r="N464" s="45"/>
    </row>
    <row r="465" customFormat="false" ht="18" hidden="false" customHeight="true" outlineLevel="0" collapsed="false">
      <c r="A465" s="44" t="str">
        <f aca="false">IF(B465="","",ROW()-4)</f>
        <v/>
      </c>
      <c r="B465" s="45"/>
      <c r="C465" s="46"/>
      <c r="D465" s="46"/>
      <c r="E465" s="47"/>
      <c r="F465" s="44" t="str">
        <f aca="true">IF(OR(B465="",E465="",C465="Done",C465="Cancelled"),"",E465-TODAY())</f>
        <v/>
      </c>
      <c r="G465" s="48" t="str">
        <f aca="true">IF(OR(B465="",C465="Done",C465="Cancelled"),"",IF(AND(E465&lt;&gt;"",E465&lt;TODAY()),"OVERDUE",IF(AND(E465&lt;&gt;"",E465=TODAY()),"DUE TODAY",IF(AND(K465&lt;&gt;"",K465&lt;=TODAY()),"FOLLOW UP",IF(AND(E465&lt;&gt;"",E465&lt;=TODAY()+3),"DUE SOON",IF(E465="","NO DUE DATE",""))))))</f>
        <v/>
      </c>
      <c r="H465" s="45"/>
      <c r="I465" s="46"/>
      <c r="J465" s="45"/>
      <c r="K465" s="47"/>
      <c r="L465" s="47"/>
      <c r="M465" s="47"/>
      <c r="N465" s="45"/>
    </row>
    <row r="466" customFormat="false" ht="18" hidden="false" customHeight="true" outlineLevel="0" collapsed="false">
      <c r="A466" s="44" t="str">
        <f aca="false">IF(B466="","",ROW()-4)</f>
        <v/>
      </c>
      <c r="B466" s="45"/>
      <c r="C466" s="46"/>
      <c r="D466" s="46"/>
      <c r="E466" s="47"/>
      <c r="F466" s="44" t="str">
        <f aca="true">IF(OR(B466="",E466="",C466="Done",C466="Cancelled"),"",E466-TODAY())</f>
        <v/>
      </c>
      <c r="G466" s="48" t="str">
        <f aca="true">IF(OR(B466="",C466="Done",C466="Cancelled"),"",IF(AND(E466&lt;&gt;"",E466&lt;TODAY()),"OVERDUE",IF(AND(E466&lt;&gt;"",E466=TODAY()),"DUE TODAY",IF(AND(K466&lt;&gt;"",K466&lt;=TODAY()),"FOLLOW UP",IF(AND(E466&lt;&gt;"",E466&lt;=TODAY()+3),"DUE SOON",IF(E466="","NO DUE DATE",""))))))</f>
        <v/>
      </c>
      <c r="H466" s="45"/>
      <c r="I466" s="46"/>
      <c r="J466" s="45"/>
      <c r="K466" s="47"/>
      <c r="L466" s="47"/>
      <c r="M466" s="47"/>
      <c r="N466" s="45"/>
    </row>
    <row r="467" customFormat="false" ht="18" hidden="false" customHeight="true" outlineLevel="0" collapsed="false">
      <c r="A467" s="44" t="str">
        <f aca="false">IF(B467="","",ROW()-4)</f>
        <v/>
      </c>
      <c r="B467" s="45"/>
      <c r="C467" s="46"/>
      <c r="D467" s="46"/>
      <c r="E467" s="47"/>
      <c r="F467" s="44" t="str">
        <f aca="true">IF(OR(B467="",E467="",C467="Done",C467="Cancelled"),"",E467-TODAY())</f>
        <v/>
      </c>
      <c r="G467" s="48" t="str">
        <f aca="true">IF(OR(B467="",C467="Done",C467="Cancelled"),"",IF(AND(E467&lt;&gt;"",E467&lt;TODAY()),"OVERDUE",IF(AND(E467&lt;&gt;"",E467=TODAY()),"DUE TODAY",IF(AND(K467&lt;&gt;"",K467&lt;=TODAY()),"FOLLOW UP",IF(AND(E467&lt;&gt;"",E467&lt;=TODAY()+3),"DUE SOON",IF(E467="","NO DUE DATE",""))))))</f>
        <v/>
      </c>
      <c r="H467" s="45"/>
      <c r="I467" s="46"/>
      <c r="J467" s="45"/>
      <c r="K467" s="47"/>
      <c r="L467" s="47"/>
      <c r="M467" s="47"/>
      <c r="N467" s="45"/>
    </row>
    <row r="468" customFormat="false" ht="18" hidden="false" customHeight="true" outlineLevel="0" collapsed="false">
      <c r="A468" s="44" t="str">
        <f aca="false">IF(B468="","",ROW()-4)</f>
        <v/>
      </c>
      <c r="B468" s="45"/>
      <c r="C468" s="46"/>
      <c r="D468" s="46"/>
      <c r="E468" s="47"/>
      <c r="F468" s="44" t="str">
        <f aca="true">IF(OR(B468="",E468="",C468="Done",C468="Cancelled"),"",E468-TODAY())</f>
        <v/>
      </c>
      <c r="G468" s="48" t="str">
        <f aca="true">IF(OR(B468="",C468="Done",C468="Cancelled"),"",IF(AND(E468&lt;&gt;"",E468&lt;TODAY()),"OVERDUE",IF(AND(E468&lt;&gt;"",E468=TODAY()),"DUE TODAY",IF(AND(K468&lt;&gt;"",K468&lt;=TODAY()),"FOLLOW UP",IF(AND(E468&lt;&gt;"",E468&lt;=TODAY()+3),"DUE SOON",IF(E468="","NO DUE DATE",""))))))</f>
        <v/>
      </c>
      <c r="H468" s="45"/>
      <c r="I468" s="46"/>
      <c r="J468" s="45"/>
      <c r="K468" s="47"/>
      <c r="L468" s="47"/>
      <c r="M468" s="47"/>
      <c r="N468" s="45"/>
    </row>
    <row r="469" customFormat="false" ht="18" hidden="false" customHeight="true" outlineLevel="0" collapsed="false">
      <c r="A469" s="44" t="str">
        <f aca="false">IF(B469="","",ROW()-4)</f>
        <v/>
      </c>
      <c r="B469" s="45"/>
      <c r="C469" s="46"/>
      <c r="D469" s="46"/>
      <c r="E469" s="47"/>
      <c r="F469" s="44" t="str">
        <f aca="true">IF(OR(B469="",E469="",C469="Done",C469="Cancelled"),"",E469-TODAY())</f>
        <v/>
      </c>
      <c r="G469" s="48" t="str">
        <f aca="true">IF(OR(B469="",C469="Done",C469="Cancelled"),"",IF(AND(E469&lt;&gt;"",E469&lt;TODAY()),"OVERDUE",IF(AND(E469&lt;&gt;"",E469=TODAY()),"DUE TODAY",IF(AND(K469&lt;&gt;"",K469&lt;=TODAY()),"FOLLOW UP",IF(AND(E469&lt;&gt;"",E469&lt;=TODAY()+3),"DUE SOON",IF(E469="","NO DUE DATE",""))))))</f>
        <v/>
      </c>
      <c r="H469" s="45"/>
      <c r="I469" s="46"/>
      <c r="J469" s="45"/>
      <c r="K469" s="47"/>
      <c r="L469" s="47"/>
      <c r="M469" s="47"/>
      <c r="N469" s="45"/>
    </row>
    <row r="470" customFormat="false" ht="18" hidden="false" customHeight="true" outlineLevel="0" collapsed="false">
      <c r="A470" s="44" t="str">
        <f aca="false">IF(B470="","",ROW()-4)</f>
        <v/>
      </c>
      <c r="B470" s="45"/>
      <c r="C470" s="46"/>
      <c r="D470" s="46"/>
      <c r="E470" s="47"/>
      <c r="F470" s="44" t="str">
        <f aca="true">IF(OR(B470="",E470="",C470="Done",C470="Cancelled"),"",E470-TODAY())</f>
        <v/>
      </c>
      <c r="G470" s="48" t="str">
        <f aca="true">IF(OR(B470="",C470="Done",C470="Cancelled"),"",IF(AND(E470&lt;&gt;"",E470&lt;TODAY()),"OVERDUE",IF(AND(E470&lt;&gt;"",E470=TODAY()),"DUE TODAY",IF(AND(K470&lt;&gt;"",K470&lt;=TODAY()),"FOLLOW UP",IF(AND(E470&lt;&gt;"",E470&lt;=TODAY()+3),"DUE SOON",IF(E470="","NO DUE DATE",""))))))</f>
        <v/>
      </c>
      <c r="H470" s="45"/>
      <c r="I470" s="46"/>
      <c r="J470" s="45"/>
      <c r="K470" s="47"/>
      <c r="L470" s="47"/>
      <c r="M470" s="47"/>
      <c r="N470" s="45"/>
    </row>
    <row r="471" customFormat="false" ht="18" hidden="false" customHeight="true" outlineLevel="0" collapsed="false">
      <c r="A471" s="44" t="str">
        <f aca="false">IF(B471="","",ROW()-4)</f>
        <v/>
      </c>
      <c r="B471" s="45"/>
      <c r="C471" s="46"/>
      <c r="D471" s="46"/>
      <c r="E471" s="47"/>
      <c r="F471" s="44" t="str">
        <f aca="true">IF(OR(B471="",E471="",C471="Done",C471="Cancelled"),"",E471-TODAY())</f>
        <v/>
      </c>
      <c r="G471" s="48" t="str">
        <f aca="true">IF(OR(B471="",C471="Done",C471="Cancelled"),"",IF(AND(E471&lt;&gt;"",E471&lt;TODAY()),"OVERDUE",IF(AND(E471&lt;&gt;"",E471=TODAY()),"DUE TODAY",IF(AND(K471&lt;&gt;"",K471&lt;=TODAY()),"FOLLOW UP",IF(AND(E471&lt;&gt;"",E471&lt;=TODAY()+3),"DUE SOON",IF(E471="","NO DUE DATE",""))))))</f>
        <v/>
      </c>
      <c r="H471" s="45"/>
      <c r="I471" s="46"/>
      <c r="J471" s="45"/>
      <c r="K471" s="47"/>
      <c r="L471" s="47"/>
      <c r="M471" s="47"/>
      <c r="N471" s="45"/>
    </row>
    <row r="472" customFormat="false" ht="18" hidden="false" customHeight="true" outlineLevel="0" collapsed="false">
      <c r="A472" s="44" t="str">
        <f aca="false">IF(B472="","",ROW()-4)</f>
        <v/>
      </c>
      <c r="B472" s="45"/>
      <c r="C472" s="46"/>
      <c r="D472" s="46"/>
      <c r="E472" s="47"/>
      <c r="F472" s="44" t="str">
        <f aca="true">IF(OR(B472="",E472="",C472="Done",C472="Cancelled"),"",E472-TODAY())</f>
        <v/>
      </c>
      <c r="G472" s="48" t="str">
        <f aca="true">IF(OR(B472="",C472="Done",C472="Cancelled"),"",IF(AND(E472&lt;&gt;"",E472&lt;TODAY()),"OVERDUE",IF(AND(E472&lt;&gt;"",E472=TODAY()),"DUE TODAY",IF(AND(K472&lt;&gt;"",K472&lt;=TODAY()),"FOLLOW UP",IF(AND(E472&lt;&gt;"",E472&lt;=TODAY()+3),"DUE SOON",IF(E472="","NO DUE DATE",""))))))</f>
        <v/>
      </c>
      <c r="H472" s="45"/>
      <c r="I472" s="46"/>
      <c r="J472" s="45"/>
      <c r="K472" s="47"/>
      <c r="L472" s="47"/>
      <c r="M472" s="47"/>
      <c r="N472" s="45"/>
    </row>
    <row r="473" customFormat="false" ht="18" hidden="false" customHeight="true" outlineLevel="0" collapsed="false">
      <c r="A473" s="44" t="str">
        <f aca="false">IF(B473="","",ROW()-4)</f>
        <v/>
      </c>
      <c r="B473" s="45"/>
      <c r="C473" s="46"/>
      <c r="D473" s="46"/>
      <c r="E473" s="47"/>
      <c r="F473" s="44" t="str">
        <f aca="true">IF(OR(B473="",E473="",C473="Done",C473="Cancelled"),"",E473-TODAY())</f>
        <v/>
      </c>
      <c r="G473" s="48" t="str">
        <f aca="true">IF(OR(B473="",C473="Done",C473="Cancelled"),"",IF(AND(E473&lt;&gt;"",E473&lt;TODAY()),"OVERDUE",IF(AND(E473&lt;&gt;"",E473=TODAY()),"DUE TODAY",IF(AND(K473&lt;&gt;"",K473&lt;=TODAY()),"FOLLOW UP",IF(AND(E473&lt;&gt;"",E473&lt;=TODAY()+3),"DUE SOON",IF(E473="","NO DUE DATE",""))))))</f>
        <v/>
      </c>
      <c r="H473" s="45"/>
      <c r="I473" s="46"/>
      <c r="J473" s="45"/>
      <c r="K473" s="47"/>
      <c r="L473" s="47"/>
      <c r="M473" s="47"/>
      <c r="N473" s="45"/>
    </row>
    <row r="474" customFormat="false" ht="18" hidden="false" customHeight="true" outlineLevel="0" collapsed="false">
      <c r="A474" s="44" t="str">
        <f aca="false">IF(B474="","",ROW()-4)</f>
        <v/>
      </c>
      <c r="B474" s="45"/>
      <c r="C474" s="46"/>
      <c r="D474" s="46"/>
      <c r="E474" s="47"/>
      <c r="F474" s="44" t="str">
        <f aca="true">IF(OR(B474="",E474="",C474="Done",C474="Cancelled"),"",E474-TODAY())</f>
        <v/>
      </c>
      <c r="G474" s="48" t="str">
        <f aca="true">IF(OR(B474="",C474="Done",C474="Cancelled"),"",IF(AND(E474&lt;&gt;"",E474&lt;TODAY()),"OVERDUE",IF(AND(E474&lt;&gt;"",E474=TODAY()),"DUE TODAY",IF(AND(K474&lt;&gt;"",K474&lt;=TODAY()),"FOLLOW UP",IF(AND(E474&lt;&gt;"",E474&lt;=TODAY()+3),"DUE SOON",IF(E474="","NO DUE DATE",""))))))</f>
        <v/>
      </c>
      <c r="H474" s="45"/>
      <c r="I474" s="46"/>
      <c r="J474" s="45"/>
      <c r="K474" s="47"/>
      <c r="L474" s="47"/>
      <c r="M474" s="47"/>
      <c r="N474" s="45"/>
    </row>
    <row r="475" customFormat="false" ht="18" hidden="false" customHeight="true" outlineLevel="0" collapsed="false">
      <c r="A475" s="44" t="str">
        <f aca="false">IF(B475="","",ROW()-4)</f>
        <v/>
      </c>
      <c r="B475" s="45"/>
      <c r="C475" s="46"/>
      <c r="D475" s="46"/>
      <c r="E475" s="47"/>
      <c r="F475" s="44" t="str">
        <f aca="true">IF(OR(B475="",E475="",C475="Done",C475="Cancelled"),"",E475-TODAY())</f>
        <v/>
      </c>
      <c r="G475" s="48" t="str">
        <f aca="true">IF(OR(B475="",C475="Done",C475="Cancelled"),"",IF(AND(E475&lt;&gt;"",E475&lt;TODAY()),"OVERDUE",IF(AND(E475&lt;&gt;"",E475=TODAY()),"DUE TODAY",IF(AND(K475&lt;&gt;"",K475&lt;=TODAY()),"FOLLOW UP",IF(AND(E475&lt;&gt;"",E475&lt;=TODAY()+3),"DUE SOON",IF(E475="","NO DUE DATE",""))))))</f>
        <v/>
      </c>
      <c r="H475" s="45"/>
      <c r="I475" s="46"/>
      <c r="J475" s="45"/>
      <c r="K475" s="47"/>
      <c r="L475" s="47"/>
      <c r="M475" s="47"/>
      <c r="N475" s="45"/>
    </row>
    <row r="476" customFormat="false" ht="18" hidden="false" customHeight="true" outlineLevel="0" collapsed="false">
      <c r="A476" s="44" t="str">
        <f aca="false">IF(B476="","",ROW()-4)</f>
        <v/>
      </c>
      <c r="B476" s="45"/>
      <c r="C476" s="46"/>
      <c r="D476" s="46"/>
      <c r="E476" s="47"/>
      <c r="F476" s="44" t="str">
        <f aca="true">IF(OR(B476="",E476="",C476="Done",C476="Cancelled"),"",E476-TODAY())</f>
        <v/>
      </c>
      <c r="G476" s="48" t="str">
        <f aca="true">IF(OR(B476="",C476="Done",C476="Cancelled"),"",IF(AND(E476&lt;&gt;"",E476&lt;TODAY()),"OVERDUE",IF(AND(E476&lt;&gt;"",E476=TODAY()),"DUE TODAY",IF(AND(K476&lt;&gt;"",K476&lt;=TODAY()),"FOLLOW UP",IF(AND(E476&lt;&gt;"",E476&lt;=TODAY()+3),"DUE SOON",IF(E476="","NO DUE DATE",""))))))</f>
        <v/>
      </c>
      <c r="H476" s="45"/>
      <c r="I476" s="46"/>
      <c r="J476" s="45"/>
      <c r="K476" s="47"/>
      <c r="L476" s="47"/>
      <c r="M476" s="47"/>
      <c r="N476" s="45"/>
    </row>
    <row r="477" customFormat="false" ht="18" hidden="false" customHeight="true" outlineLevel="0" collapsed="false">
      <c r="A477" s="44" t="str">
        <f aca="false">IF(B477="","",ROW()-4)</f>
        <v/>
      </c>
      <c r="B477" s="45"/>
      <c r="C477" s="46"/>
      <c r="D477" s="46"/>
      <c r="E477" s="47"/>
      <c r="F477" s="44" t="str">
        <f aca="true">IF(OR(B477="",E477="",C477="Done",C477="Cancelled"),"",E477-TODAY())</f>
        <v/>
      </c>
      <c r="G477" s="48" t="str">
        <f aca="true">IF(OR(B477="",C477="Done",C477="Cancelled"),"",IF(AND(E477&lt;&gt;"",E477&lt;TODAY()),"OVERDUE",IF(AND(E477&lt;&gt;"",E477=TODAY()),"DUE TODAY",IF(AND(K477&lt;&gt;"",K477&lt;=TODAY()),"FOLLOW UP",IF(AND(E477&lt;&gt;"",E477&lt;=TODAY()+3),"DUE SOON",IF(E477="","NO DUE DATE",""))))))</f>
        <v/>
      </c>
      <c r="H477" s="45"/>
      <c r="I477" s="46"/>
      <c r="J477" s="45"/>
      <c r="K477" s="47"/>
      <c r="L477" s="47"/>
      <c r="M477" s="47"/>
      <c r="N477" s="45"/>
    </row>
    <row r="478" customFormat="false" ht="18" hidden="false" customHeight="true" outlineLevel="0" collapsed="false">
      <c r="A478" s="44" t="str">
        <f aca="false">IF(B478="","",ROW()-4)</f>
        <v/>
      </c>
      <c r="B478" s="45"/>
      <c r="C478" s="46"/>
      <c r="D478" s="46"/>
      <c r="E478" s="47"/>
      <c r="F478" s="44" t="str">
        <f aca="true">IF(OR(B478="",E478="",C478="Done",C478="Cancelled"),"",E478-TODAY())</f>
        <v/>
      </c>
      <c r="G478" s="48" t="str">
        <f aca="true">IF(OR(B478="",C478="Done",C478="Cancelled"),"",IF(AND(E478&lt;&gt;"",E478&lt;TODAY()),"OVERDUE",IF(AND(E478&lt;&gt;"",E478=TODAY()),"DUE TODAY",IF(AND(K478&lt;&gt;"",K478&lt;=TODAY()),"FOLLOW UP",IF(AND(E478&lt;&gt;"",E478&lt;=TODAY()+3),"DUE SOON",IF(E478="","NO DUE DATE",""))))))</f>
        <v/>
      </c>
      <c r="H478" s="45"/>
      <c r="I478" s="46"/>
      <c r="J478" s="45"/>
      <c r="K478" s="47"/>
      <c r="L478" s="47"/>
      <c r="M478" s="47"/>
      <c r="N478" s="45"/>
    </row>
    <row r="479" customFormat="false" ht="18" hidden="false" customHeight="true" outlineLevel="0" collapsed="false">
      <c r="A479" s="44" t="str">
        <f aca="false">IF(B479="","",ROW()-4)</f>
        <v/>
      </c>
      <c r="B479" s="45"/>
      <c r="C479" s="46"/>
      <c r="D479" s="46"/>
      <c r="E479" s="47"/>
      <c r="F479" s="44" t="str">
        <f aca="true">IF(OR(B479="",E479="",C479="Done",C479="Cancelled"),"",E479-TODAY())</f>
        <v/>
      </c>
      <c r="G479" s="48" t="str">
        <f aca="true">IF(OR(B479="",C479="Done",C479="Cancelled"),"",IF(AND(E479&lt;&gt;"",E479&lt;TODAY()),"OVERDUE",IF(AND(E479&lt;&gt;"",E479=TODAY()),"DUE TODAY",IF(AND(K479&lt;&gt;"",K479&lt;=TODAY()),"FOLLOW UP",IF(AND(E479&lt;&gt;"",E479&lt;=TODAY()+3),"DUE SOON",IF(E479="","NO DUE DATE",""))))))</f>
        <v/>
      </c>
      <c r="H479" s="45"/>
      <c r="I479" s="46"/>
      <c r="J479" s="45"/>
      <c r="K479" s="47"/>
      <c r="L479" s="47"/>
      <c r="M479" s="47"/>
      <c r="N479" s="45"/>
    </row>
    <row r="480" customFormat="false" ht="18" hidden="false" customHeight="true" outlineLevel="0" collapsed="false">
      <c r="A480" s="44" t="str">
        <f aca="false">IF(B480="","",ROW()-4)</f>
        <v/>
      </c>
      <c r="B480" s="45"/>
      <c r="C480" s="46"/>
      <c r="D480" s="46"/>
      <c r="E480" s="47"/>
      <c r="F480" s="44" t="str">
        <f aca="true">IF(OR(B480="",E480="",C480="Done",C480="Cancelled"),"",E480-TODAY())</f>
        <v/>
      </c>
      <c r="G480" s="48" t="str">
        <f aca="true">IF(OR(B480="",C480="Done",C480="Cancelled"),"",IF(AND(E480&lt;&gt;"",E480&lt;TODAY()),"OVERDUE",IF(AND(E480&lt;&gt;"",E480=TODAY()),"DUE TODAY",IF(AND(K480&lt;&gt;"",K480&lt;=TODAY()),"FOLLOW UP",IF(AND(E480&lt;&gt;"",E480&lt;=TODAY()+3),"DUE SOON",IF(E480="","NO DUE DATE",""))))))</f>
        <v/>
      </c>
      <c r="H480" s="45"/>
      <c r="I480" s="46"/>
      <c r="J480" s="45"/>
      <c r="K480" s="47"/>
      <c r="L480" s="47"/>
      <c r="M480" s="47"/>
      <c r="N480" s="45"/>
    </row>
    <row r="481" customFormat="false" ht="18" hidden="false" customHeight="true" outlineLevel="0" collapsed="false">
      <c r="A481" s="44" t="str">
        <f aca="false">IF(B481="","",ROW()-4)</f>
        <v/>
      </c>
      <c r="B481" s="45"/>
      <c r="C481" s="46"/>
      <c r="D481" s="46"/>
      <c r="E481" s="47"/>
      <c r="F481" s="44" t="str">
        <f aca="true">IF(OR(B481="",E481="",C481="Done",C481="Cancelled"),"",E481-TODAY())</f>
        <v/>
      </c>
      <c r="G481" s="48" t="str">
        <f aca="true">IF(OR(B481="",C481="Done",C481="Cancelled"),"",IF(AND(E481&lt;&gt;"",E481&lt;TODAY()),"OVERDUE",IF(AND(E481&lt;&gt;"",E481=TODAY()),"DUE TODAY",IF(AND(K481&lt;&gt;"",K481&lt;=TODAY()),"FOLLOW UP",IF(AND(E481&lt;&gt;"",E481&lt;=TODAY()+3),"DUE SOON",IF(E481="","NO DUE DATE",""))))))</f>
        <v/>
      </c>
      <c r="H481" s="45"/>
      <c r="I481" s="46"/>
      <c r="J481" s="45"/>
      <c r="K481" s="47"/>
      <c r="L481" s="47"/>
      <c r="M481" s="47"/>
      <c r="N481" s="45"/>
    </row>
    <row r="482" customFormat="false" ht="18" hidden="false" customHeight="true" outlineLevel="0" collapsed="false">
      <c r="A482" s="44" t="str">
        <f aca="false">IF(B482="","",ROW()-4)</f>
        <v/>
      </c>
      <c r="B482" s="45"/>
      <c r="C482" s="46"/>
      <c r="D482" s="46"/>
      <c r="E482" s="47"/>
      <c r="F482" s="44" t="str">
        <f aca="true">IF(OR(B482="",E482="",C482="Done",C482="Cancelled"),"",E482-TODAY())</f>
        <v/>
      </c>
      <c r="G482" s="48" t="str">
        <f aca="true">IF(OR(B482="",C482="Done",C482="Cancelled"),"",IF(AND(E482&lt;&gt;"",E482&lt;TODAY()),"OVERDUE",IF(AND(E482&lt;&gt;"",E482=TODAY()),"DUE TODAY",IF(AND(K482&lt;&gt;"",K482&lt;=TODAY()),"FOLLOW UP",IF(AND(E482&lt;&gt;"",E482&lt;=TODAY()+3),"DUE SOON",IF(E482="","NO DUE DATE",""))))))</f>
        <v/>
      </c>
      <c r="H482" s="45"/>
      <c r="I482" s="46"/>
      <c r="J482" s="45"/>
      <c r="K482" s="47"/>
      <c r="L482" s="47"/>
      <c r="M482" s="47"/>
      <c r="N482" s="45"/>
    </row>
    <row r="483" customFormat="false" ht="18" hidden="false" customHeight="true" outlineLevel="0" collapsed="false">
      <c r="A483" s="44" t="str">
        <f aca="false">IF(B483="","",ROW()-4)</f>
        <v/>
      </c>
      <c r="B483" s="45"/>
      <c r="C483" s="46"/>
      <c r="D483" s="46"/>
      <c r="E483" s="47"/>
      <c r="F483" s="44" t="str">
        <f aca="true">IF(OR(B483="",E483="",C483="Done",C483="Cancelled"),"",E483-TODAY())</f>
        <v/>
      </c>
      <c r="G483" s="48" t="str">
        <f aca="true">IF(OR(B483="",C483="Done",C483="Cancelled"),"",IF(AND(E483&lt;&gt;"",E483&lt;TODAY()),"OVERDUE",IF(AND(E483&lt;&gt;"",E483=TODAY()),"DUE TODAY",IF(AND(K483&lt;&gt;"",K483&lt;=TODAY()),"FOLLOW UP",IF(AND(E483&lt;&gt;"",E483&lt;=TODAY()+3),"DUE SOON",IF(E483="","NO DUE DATE",""))))))</f>
        <v/>
      </c>
      <c r="H483" s="45"/>
      <c r="I483" s="46"/>
      <c r="J483" s="45"/>
      <c r="K483" s="47"/>
      <c r="L483" s="47"/>
      <c r="M483" s="47"/>
      <c r="N483" s="45"/>
    </row>
    <row r="484" customFormat="false" ht="18" hidden="false" customHeight="true" outlineLevel="0" collapsed="false">
      <c r="A484" s="44" t="str">
        <f aca="false">IF(B484="","",ROW()-4)</f>
        <v/>
      </c>
      <c r="B484" s="45"/>
      <c r="C484" s="46"/>
      <c r="D484" s="46"/>
      <c r="E484" s="47"/>
      <c r="F484" s="44" t="str">
        <f aca="true">IF(OR(B484="",E484="",C484="Done",C484="Cancelled"),"",E484-TODAY())</f>
        <v/>
      </c>
      <c r="G484" s="48" t="str">
        <f aca="true">IF(OR(B484="",C484="Done",C484="Cancelled"),"",IF(AND(E484&lt;&gt;"",E484&lt;TODAY()),"OVERDUE",IF(AND(E484&lt;&gt;"",E484=TODAY()),"DUE TODAY",IF(AND(K484&lt;&gt;"",K484&lt;=TODAY()),"FOLLOW UP",IF(AND(E484&lt;&gt;"",E484&lt;=TODAY()+3),"DUE SOON",IF(E484="","NO DUE DATE",""))))))</f>
        <v/>
      </c>
      <c r="H484" s="45"/>
      <c r="I484" s="46"/>
      <c r="J484" s="45"/>
      <c r="K484" s="47"/>
      <c r="L484" s="47"/>
      <c r="M484" s="47"/>
      <c r="N484" s="45"/>
    </row>
    <row r="485" customFormat="false" ht="18" hidden="false" customHeight="true" outlineLevel="0" collapsed="false">
      <c r="A485" s="44" t="str">
        <f aca="false">IF(B485="","",ROW()-4)</f>
        <v/>
      </c>
      <c r="B485" s="45"/>
      <c r="C485" s="46"/>
      <c r="D485" s="46"/>
      <c r="E485" s="47"/>
      <c r="F485" s="44" t="str">
        <f aca="true">IF(OR(B485="",E485="",C485="Done",C485="Cancelled"),"",E485-TODAY())</f>
        <v/>
      </c>
      <c r="G485" s="48" t="str">
        <f aca="true">IF(OR(B485="",C485="Done",C485="Cancelled"),"",IF(AND(E485&lt;&gt;"",E485&lt;TODAY()),"OVERDUE",IF(AND(E485&lt;&gt;"",E485=TODAY()),"DUE TODAY",IF(AND(K485&lt;&gt;"",K485&lt;=TODAY()),"FOLLOW UP",IF(AND(E485&lt;&gt;"",E485&lt;=TODAY()+3),"DUE SOON",IF(E485="","NO DUE DATE",""))))))</f>
        <v/>
      </c>
      <c r="H485" s="45"/>
      <c r="I485" s="46"/>
      <c r="J485" s="45"/>
      <c r="K485" s="47"/>
      <c r="L485" s="47"/>
      <c r="M485" s="47"/>
      <c r="N485" s="45"/>
    </row>
    <row r="486" customFormat="false" ht="18" hidden="false" customHeight="true" outlineLevel="0" collapsed="false">
      <c r="A486" s="44" t="str">
        <f aca="false">IF(B486="","",ROW()-4)</f>
        <v/>
      </c>
      <c r="B486" s="45"/>
      <c r="C486" s="46"/>
      <c r="D486" s="46"/>
      <c r="E486" s="47"/>
      <c r="F486" s="44" t="str">
        <f aca="true">IF(OR(B486="",E486="",C486="Done",C486="Cancelled"),"",E486-TODAY())</f>
        <v/>
      </c>
      <c r="G486" s="48" t="str">
        <f aca="true">IF(OR(B486="",C486="Done",C486="Cancelled"),"",IF(AND(E486&lt;&gt;"",E486&lt;TODAY()),"OVERDUE",IF(AND(E486&lt;&gt;"",E486=TODAY()),"DUE TODAY",IF(AND(K486&lt;&gt;"",K486&lt;=TODAY()),"FOLLOW UP",IF(AND(E486&lt;&gt;"",E486&lt;=TODAY()+3),"DUE SOON",IF(E486="","NO DUE DATE",""))))))</f>
        <v/>
      </c>
      <c r="H486" s="45"/>
      <c r="I486" s="46"/>
      <c r="J486" s="45"/>
      <c r="K486" s="47"/>
      <c r="L486" s="47"/>
      <c r="M486" s="47"/>
      <c r="N486" s="45"/>
    </row>
    <row r="487" customFormat="false" ht="18" hidden="false" customHeight="true" outlineLevel="0" collapsed="false">
      <c r="A487" s="44" t="str">
        <f aca="false">IF(B487="","",ROW()-4)</f>
        <v/>
      </c>
      <c r="B487" s="45"/>
      <c r="C487" s="46"/>
      <c r="D487" s="46"/>
      <c r="E487" s="47"/>
      <c r="F487" s="44" t="str">
        <f aca="true">IF(OR(B487="",E487="",C487="Done",C487="Cancelled"),"",E487-TODAY())</f>
        <v/>
      </c>
      <c r="G487" s="48" t="str">
        <f aca="true">IF(OR(B487="",C487="Done",C487="Cancelled"),"",IF(AND(E487&lt;&gt;"",E487&lt;TODAY()),"OVERDUE",IF(AND(E487&lt;&gt;"",E487=TODAY()),"DUE TODAY",IF(AND(K487&lt;&gt;"",K487&lt;=TODAY()),"FOLLOW UP",IF(AND(E487&lt;&gt;"",E487&lt;=TODAY()+3),"DUE SOON",IF(E487="","NO DUE DATE",""))))))</f>
        <v/>
      </c>
      <c r="H487" s="45"/>
      <c r="I487" s="46"/>
      <c r="J487" s="45"/>
      <c r="K487" s="47"/>
      <c r="L487" s="47"/>
      <c r="M487" s="47"/>
      <c r="N487" s="45"/>
    </row>
    <row r="488" customFormat="false" ht="18" hidden="false" customHeight="true" outlineLevel="0" collapsed="false">
      <c r="A488" s="44" t="str">
        <f aca="false">IF(B488="","",ROW()-4)</f>
        <v/>
      </c>
      <c r="B488" s="45"/>
      <c r="C488" s="46"/>
      <c r="D488" s="46"/>
      <c r="E488" s="47"/>
      <c r="F488" s="44" t="str">
        <f aca="true">IF(OR(B488="",E488="",C488="Done",C488="Cancelled"),"",E488-TODAY())</f>
        <v/>
      </c>
      <c r="G488" s="48" t="str">
        <f aca="true">IF(OR(B488="",C488="Done",C488="Cancelled"),"",IF(AND(E488&lt;&gt;"",E488&lt;TODAY()),"OVERDUE",IF(AND(E488&lt;&gt;"",E488=TODAY()),"DUE TODAY",IF(AND(K488&lt;&gt;"",K488&lt;=TODAY()),"FOLLOW UP",IF(AND(E488&lt;&gt;"",E488&lt;=TODAY()+3),"DUE SOON",IF(E488="","NO DUE DATE",""))))))</f>
        <v/>
      </c>
      <c r="H488" s="45"/>
      <c r="I488" s="46"/>
      <c r="J488" s="45"/>
      <c r="K488" s="47"/>
      <c r="L488" s="47"/>
      <c r="M488" s="47"/>
      <c r="N488" s="45"/>
    </row>
    <row r="489" customFormat="false" ht="18" hidden="false" customHeight="true" outlineLevel="0" collapsed="false">
      <c r="A489" s="44" t="str">
        <f aca="false">IF(B489="","",ROW()-4)</f>
        <v/>
      </c>
      <c r="B489" s="45"/>
      <c r="C489" s="46"/>
      <c r="D489" s="46"/>
      <c r="E489" s="47"/>
      <c r="F489" s="44" t="str">
        <f aca="true">IF(OR(B489="",E489="",C489="Done",C489="Cancelled"),"",E489-TODAY())</f>
        <v/>
      </c>
      <c r="G489" s="48" t="str">
        <f aca="true">IF(OR(B489="",C489="Done",C489="Cancelled"),"",IF(AND(E489&lt;&gt;"",E489&lt;TODAY()),"OVERDUE",IF(AND(E489&lt;&gt;"",E489=TODAY()),"DUE TODAY",IF(AND(K489&lt;&gt;"",K489&lt;=TODAY()),"FOLLOW UP",IF(AND(E489&lt;&gt;"",E489&lt;=TODAY()+3),"DUE SOON",IF(E489="","NO DUE DATE",""))))))</f>
        <v/>
      </c>
      <c r="H489" s="45"/>
      <c r="I489" s="46"/>
      <c r="J489" s="45"/>
      <c r="K489" s="47"/>
      <c r="L489" s="47"/>
      <c r="M489" s="47"/>
      <c r="N489" s="45"/>
    </row>
    <row r="490" customFormat="false" ht="18" hidden="false" customHeight="true" outlineLevel="0" collapsed="false">
      <c r="A490" s="44" t="str">
        <f aca="false">IF(B490="","",ROW()-4)</f>
        <v/>
      </c>
      <c r="B490" s="45"/>
      <c r="C490" s="46"/>
      <c r="D490" s="46"/>
      <c r="E490" s="47"/>
      <c r="F490" s="44" t="str">
        <f aca="true">IF(OR(B490="",E490="",C490="Done",C490="Cancelled"),"",E490-TODAY())</f>
        <v/>
      </c>
      <c r="G490" s="48" t="str">
        <f aca="true">IF(OR(B490="",C490="Done",C490="Cancelled"),"",IF(AND(E490&lt;&gt;"",E490&lt;TODAY()),"OVERDUE",IF(AND(E490&lt;&gt;"",E490=TODAY()),"DUE TODAY",IF(AND(K490&lt;&gt;"",K490&lt;=TODAY()),"FOLLOW UP",IF(AND(E490&lt;&gt;"",E490&lt;=TODAY()+3),"DUE SOON",IF(E490="","NO DUE DATE",""))))))</f>
        <v/>
      </c>
      <c r="H490" s="45"/>
      <c r="I490" s="46"/>
      <c r="J490" s="45"/>
      <c r="K490" s="47"/>
      <c r="L490" s="47"/>
      <c r="M490" s="47"/>
      <c r="N490" s="45"/>
    </row>
    <row r="491" customFormat="false" ht="18" hidden="false" customHeight="true" outlineLevel="0" collapsed="false">
      <c r="A491" s="44" t="str">
        <f aca="false">IF(B491="","",ROW()-4)</f>
        <v/>
      </c>
      <c r="B491" s="45"/>
      <c r="C491" s="46"/>
      <c r="D491" s="46"/>
      <c r="E491" s="47"/>
      <c r="F491" s="44" t="str">
        <f aca="true">IF(OR(B491="",E491="",C491="Done",C491="Cancelled"),"",E491-TODAY())</f>
        <v/>
      </c>
      <c r="G491" s="48" t="str">
        <f aca="true">IF(OR(B491="",C491="Done",C491="Cancelled"),"",IF(AND(E491&lt;&gt;"",E491&lt;TODAY()),"OVERDUE",IF(AND(E491&lt;&gt;"",E491=TODAY()),"DUE TODAY",IF(AND(K491&lt;&gt;"",K491&lt;=TODAY()),"FOLLOW UP",IF(AND(E491&lt;&gt;"",E491&lt;=TODAY()+3),"DUE SOON",IF(E491="","NO DUE DATE",""))))))</f>
        <v/>
      </c>
      <c r="H491" s="45"/>
      <c r="I491" s="46"/>
      <c r="J491" s="45"/>
      <c r="K491" s="47"/>
      <c r="L491" s="47"/>
      <c r="M491" s="47"/>
      <c r="N491" s="45"/>
    </row>
    <row r="492" customFormat="false" ht="18" hidden="false" customHeight="true" outlineLevel="0" collapsed="false">
      <c r="A492" s="44" t="str">
        <f aca="false">IF(B492="","",ROW()-4)</f>
        <v/>
      </c>
      <c r="B492" s="45"/>
      <c r="C492" s="46"/>
      <c r="D492" s="46"/>
      <c r="E492" s="47"/>
      <c r="F492" s="44" t="str">
        <f aca="true">IF(OR(B492="",E492="",C492="Done",C492="Cancelled"),"",E492-TODAY())</f>
        <v/>
      </c>
      <c r="G492" s="48" t="str">
        <f aca="true">IF(OR(B492="",C492="Done",C492="Cancelled"),"",IF(AND(E492&lt;&gt;"",E492&lt;TODAY()),"OVERDUE",IF(AND(E492&lt;&gt;"",E492=TODAY()),"DUE TODAY",IF(AND(K492&lt;&gt;"",K492&lt;=TODAY()),"FOLLOW UP",IF(AND(E492&lt;&gt;"",E492&lt;=TODAY()+3),"DUE SOON",IF(E492="","NO DUE DATE",""))))))</f>
        <v/>
      </c>
      <c r="H492" s="45"/>
      <c r="I492" s="46"/>
      <c r="J492" s="45"/>
      <c r="K492" s="47"/>
      <c r="L492" s="47"/>
      <c r="M492" s="47"/>
      <c r="N492" s="45"/>
    </row>
    <row r="493" customFormat="false" ht="18" hidden="false" customHeight="true" outlineLevel="0" collapsed="false">
      <c r="A493" s="44" t="str">
        <f aca="false">IF(B493="","",ROW()-4)</f>
        <v/>
      </c>
      <c r="B493" s="45"/>
      <c r="C493" s="46"/>
      <c r="D493" s="46"/>
      <c r="E493" s="47"/>
      <c r="F493" s="44" t="str">
        <f aca="true">IF(OR(B493="",E493="",C493="Done",C493="Cancelled"),"",E493-TODAY())</f>
        <v/>
      </c>
      <c r="G493" s="48" t="str">
        <f aca="true">IF(OR(B493="",C493="Done",C493="Cancelled"),"",IF(AND(E493&lt;&gt;"",E493&lt;TODAY()),"OVERDUE",IF(AND(E493&lt;&gt;"",E493=TODAY()),"DUE TODAY",IF(AND(K493&lt;&gt;"",K493&lt;=TODAY()),"FOLLOW UP",IF(AND(E493&lt;&gt;"",E493&lt;=TODAY()+3),"DUE SOON",IF(E493="","NO DUE DATE",""))))))</f>
        <v/>
      </c>
      <c r="H493" s="45"/>
      <c r="I493" s="46"/>
      <c r="J493" s="45"/>
      <c r="K493" s="47"/>
      <c r="L493" s="47"/>
      <c r="M493" s="47"/>
      <c r="N493" s="45"/>
    </row>
    <row r="494" customFormat="false" ht="18" hidden="false" customHeight="true" outlineLevel="0" collapsed="false">
      <c r="A494" s="44" t="str">
        <f aca="false">IF(B494="","",ROW()-4)</f>
        <v/>
      </c>
      <c r="B494" s="45"/>
      <c r="C494" s="46"/>
      <c r="D494" s="46"/>
      <c r="E494" s="47"/>
      <c r="F494" s="44" t="str">
        <f aca="true">IF(OR(B494="",E494="",C494="Done",C494="Cancelled"),"",E494-TODAY())</f>
        <v/>
      </c>
      <c r="G494" s="48" t="str">
        <f aca="true">IF(OR(B494="",C494="Done",C494="Cancelled"),"",IF(AND(E494&lt;&gt;"",E494&lt;TODAY()),"OVERDUE",IF(AND(E494&lt;&gt;"",E494=TODAY()),"DUE TODAY",IF(AND(K494&lt;&gt;"",K494&lt;=TODAY()),"FOLLOW UP",IF(AND(E494&lt;&gt;"",E494&lt;=TODAY()+3),"DUE SOON",IF(E494="","NO DUE DATE",""))))))</f>
        <v/>
      </c>
      <c r="H494" s="45"/>
      <c r="I494" s="46"/>
      <c r="J494" s="45"/>
      <c r="K494" s="47"/>
      <c r="L494" s="47"/>
      <c r="M494" s="47"/>
      <c r="N494" s="45"/>
    </row>
    <row r="495" customFormat="false" ht="18" hidden="false" customHeight="true" outlineLevel="0" collapsed="false">
      <c r="A495" s="44" t="str">
        <f aca="false">IF(B495="","",ROW()-4)</f>
        <v/>
      </c>
      <c r="B495" s="45"/>
      <c r="C495" s="46"/>
      <c r="D495" s="46"/>
      <c r="E495" s="47"/>
      <c r="F495" s="44" t="str">
        <f aca="true">IF(OR(B495="",E495="",C495="Done",C495="Cancelled"),"",E495-TODAY())</f>
        <v/>
      </c>
      <c r="G495" s="48" t="str">
        <f aca="true">IF(OR(B495="",C495="Done",C495="Cancelled"),"",IF(AND(E495&lt;&gt;"",E495&lt;TODAY()),"OVERDUE",IF(AND(E495&lt;&gt;"",E495=TODAY()),"DUE TODAY",IF(AND(K495&lt;&gt;"",K495&lt;=TODAY()),"FOLLOW UP",IF(AND(E495&lt;&gt;"",E495&lt;=TODAY()+3),"DUE SOON",IF(E495="","NO DUE DATE",""))))))</f>
        <v/>
      </c>
      <c r="H495" s="45"/>
      <c r="I495" s="46"/>
      <c r="J495" s="45"/>
      <c r="K495" s="47"/>
      <c r="L495" s="47"/>
      <c r="M495" s="47"/>
      <c r="N495" s="45"/>
    </row>
    <row r="496" customFormat="false" ht="18" hidden="false" customHeight="true" outlineLevel="0" collapsed="false">
      <c r="A496" s="44" t="str">
        <f aca="false">IF(B496="","",ROW()-4)</f>
        <v/>
      </c>
      <c r="B496" s="45"/>
      <c r="C496" s="46"/>
      <c r="D496" s="46"/>
      <c r="E496" s="47"/>
      <c r="F496" s="44" t="str">
        <f aca="true">IF(OR(B496="",E496="",C496="Done",C496="Cancelled"),"",E496-TODAY())</f>
        <v/>
      </c>
      <c r="G496" s="48" t="str">
        <f aca="true">IF(OR(B496="",C496="Done",C496="Cancelled"),"",IF(AND(E496&lt;&gt;"",E496&lt;TODAY()),"OVERDUE",IF(AND(E496&lt;&gt;"",E496=TODAY()),"DUE TODAY",IF(AND(K496&lt;&gt;"",K496&lt;=TODAY()),"FOLLOW UP",IF(AND(E496&lt;&gt;"",E496&lt;=TODAY()+3),"DUE SOON",IF(E496="","NO DUE DATE",""))))))</f>
        <v/>
      </c>
      <c r="H496" s="45"/>
      <c r="I496" s="46"/>
      <c r="J496" s="45"/>
      <c r="K496" s="47"/>
      <c r="L496" s="47"/>
      <c r="M496" s="47"/>
      <c r="N496" s="45"/>
    </row>
    <row r="497" customFormat="false" ht="18" hidden="false" customHeight="true" outlineLevel="0" collapsed="false">
      <c r="A497" s="44" t="str">
        <f aca="false">IF(B497="","",ROW()-4)</f>
        <v/>
      </c>
      <c r="B497" s="45"/>
      <c r="C497" s="46"/>
      <c r="D497" s="46"/>
      <c r="E497" s="47"/>
      <c r="F497" s="44" t="str">
        <f aca="true">IF(OR(B497="",E497="",C497="Done",C497="Cancelled"),"",E497-TODAY())</f>
        <v/>
      </c>
      <c r="G497" s="48" t="str">
        <f aca="true">IF(OR(B497="",C497="Done",C497="Cancelled"),"",IF(AND(E497&lt;&gt;"",E497&lt;TODAY()),"OVERDUE",IF(AND(E497&lt;&gt;"",E497=TODAY()),"DUE TODAY",IF(AND(K497&lt;&gt;"",K497&lt;=TODAY()),"FOLLOW UP",IF(AND(E497&lt;&gt;"",E497&lt;=TODAY()+3),"DUE SOON",IF(E497="","NO DUE DATE",""))))))</f>
        <v/>
      </c>
      <c r="H497" s="45"/>
      <c r="I497" s="46"/>
      <c r="J497" s="45"/>
      <c r="K497" s="47"/>
      <c r="L497" s="47"/>
      <c r="M497" s="47"/>
      <c r="N497" s="45"/>
    </row>
    <row r="498" customFormat="false" ht="18" hidden="false" customHeight="true" outlineLevel="0" collapsed="false">
      <c r="A498" s="44" t="str">
        <f aca="false">IF(B498="","",ROW()-4)</f>
        <v/>
      </c>
      <c r="B498" s="45"/>
      <c r="C498" s="46"/>
      <c r="D498" s="46"/>
      <c r="E498" s="47"/>
      <c r="F498" s="44" t="str">
        <f aca="true">IF(OR(B498="",E498="",C498="Done",C498="Cancelled"),"",E498-TODAY())</f>
        <v/>
      </c>
      <c r="G498" s="48" t="str">
        <f aca="true">IF(OR(B498="",C498="Done",C498="Cancelled"),"",IF(AND(E498&lt;&gt;"",E498&lt;TODAY()),"OVERDUE",IF(AND(E498&lt;&gt;"",E498=TODAY()),"DUE TODAY",IF(AND(K498&lt;&gt;"",K498&lt;=TODAY()),"FOLLOW UP",IF(AND(E498&lt;&gt;"",E498&lt;=TODAY()+3),"DUE SOON",IF(E498="","NO DUE DATE",""))))))</f>
        <v/>
      </c>
      <c r="H498" s="45"/>
      <c r="I498" s="46"/>
      <c r="J498" s="45"/>
      <c r="K498" s="47"/>
      <c r="L498" s="47"/>
      <c r="M498" s="47"/>
      <c r="N498" s="45"/>
    </row>
    <row r="499" customFormat="false" ht="18" hidden="false" customHeight="true" outlineLevel="0" collapsed="false">
      <c r="A499" s="44" t="str">
        <f aca="false">IF(B499="","",ROW()-4)</f>
        <v/>
      </c>
      <c r="B499" s="45"/>
      <c r="C499" s="46"/>
      <c r="D499" s="46"/>
      <c r="E499" s="47"/>
      <c r="F499" s="44" t="str">
        <f aca="true">IF(OR(B499="",E499="",C499="Done",C499="Cancelled"),"",E499-TODAY())</f>
        <v/>
      </c>
      <c r="G499" s="48" t="str">
        <f aca="true">IF(OR(B499="",C499="Done",C499="Cancelled"),"",IF(AND(E499&lt;&gt;"",E499&lt;TODAY()),"OVERDUE",IF(AND(E499&lt;&gt;"",E499=TODAY()),"DUE TODAY",IF(AND(K499&lt;&gt;"",K499&lt;=TODAY()),"FOLLOW UP",IF(AND(E499&lt;&gt;"",E499&lt;=TODAY()+3),"DUE SOON",IF(E499="","NO DUE DATE",""))))))</f>
        <v/>
      </c>
      <c r="H499" s="45"/>
      <c r="I499" s="46"/>
      <c r="J499" s="45"/>
      <c r="K499" s="47"/>
      <c r="L499" s="47"/>
      <c r="M499" s="47"/>
      <c r="N499" s="45"/>
    </row>
    <row r="500" customFormat="false" ht="18" hidden="false" customHeight="true" outlineLevel="0" collapsed="false">
      <c r="A500" s="44" t="str">
        <f aca="false">IF(B500="","",ROW()-4)</f>
        <v/>
      </c>
      <c r="B500" s="45"/>
      <c r="C500" s="46"/>
      <c r="D500" s="46"/>
      <c r="E500" s="47"/>
      <c r="F500" s="44" t="str">
        <f aca="true">IF(OR(B500="",E500="",C500="Done",C500="Cancelled"),"",E500-TODAY())</f>
        <v/>
      </c>
      <c r="G500" s="48" t="str">
        <f aca="true">IF(OR(B500="",C500="Done",C500="Cancelled"),"",IF(AND(E500&lt;&gt;"",E500&lt;TODAY()),"OVERDUE",IF(AND(E500&lt;&gt;"",E500=TODAY()),"DUE TODAY",IF(AND(K500&lt;&gt;"",K500&lt;=TODAY()),"FOLLOW UP",IF(AND(E500&lt;&gt;"",E500&lt;=TODAY()+3),"DUE SOON",IF(E500="","NO DUE DATE",""))))))</f>
        <v/>
      </c>
      <c r="H500" s="45"/>
      <c r="I500" s="46"/>
      <c r="J500" s="45"/>
      <c r="K500" s="47"/>
      <c r="L500" s="47"/>
      <c r="M500" s="47"/>
      <c r="N500" s="45"/>
    </row>
    <row r="501" customFormat="false" ht="18" hidden="false" customHeight="true" outlineLevel="0" collapsed="false">
      <c r="A501" s="44" t="str">
        <f aca="false">IF(B501="","",ROW()-4)</f>
        <v/>
      </c>
      <c r="B501" s="45"/>
      <c r="C501" s="46"/>
      <c r="D501" s="46"/>
      <c r="E501" s="47"/>
      <c r="F501" s="44" t="str">
        <f aca="true">IF(OR(B501="",E501="",C501="Done",C501="Cancelled"),"",E501-TODAY())</f>
        <v/>
      </c>
      <c r="G501" s="48" t="str">
        <f aca="true">IF(OR(B501="",C501="Done",C501="Cancelled"),"",IF(AND(E501&lt;&gt;"",E501&lt;TODAY()),"OVERDUE",IF(AND(E501&lt;&gt;"",E501=TODAY()),"DUE TODAY",IF(AND(K501&lt;&gt;"",K501&lt;=TODAY()),"FOLLOW UP",IF(AND(E501&lt;&gt;"",E501&lt;=TODAY()+3),"DUE SOON",IF(E501="","NO DUE DATE",""))))))</f>
        <v/>
      </c>
      <c r="H501" s="45"/>
      <c r="I501" s="46"/>
      <c r="J501" s="45"/>
      <c r="K501" s="47"/>
      <c r="L501" s="47"/>
      <c r="M501" s="47"/>
      <c r="N501" s="45"/>
    </row>
    <row r="502" customFormat="false" ht="18" hidden="false" customHeight="true" outlineLevel="0" collapsed="false">
      <c r="A502" s="44" t="str">
        <f aca="false">IF(B502="","",ROW()-4)</f>
        <v/>
      </c>
      <c r="B502" s="45"/>
      <c r="C502" s="46"/>
      <c r="D502" s="46"/>
      <c r="E502" s="47"/>
      <c r="F502" s="44" t="str">
        <f aca="true">IF(OR(B502="",E502="",C502="Done",C502="Cancelled"),"",E502-TODAY())</f>
        <v/>
      </c>
      <c r="G502" s="48" t="str">
        <f aca="true">IF(OR(B502="",C502="Done",C502="Cancelled"),"",IF(AND(E502&lt;&gt;"",E502&lt;TODAY()),"OVERDUE",IF(AND(E502&lt;&gt;"",E502=TODAY()),"DUE TODAY",IF(AND(K502&lt;&gt;"",K502&lt;=TODAY()),"FOLLOW UP",IF(AND(E502&lt;&gt;"",E502&lt;=TODAY()+3),"DUE SOON",IF(E502="","NO DUE DATE",""))))))</f>
        <v/>
      </c>
      <c r="H502" s="45"/>
      <c r="I502" s="46"/>
      <c r="J502" s="45"/>
      <c r="K502" s="47"/>
      <c r="L502" s="47"/>
      <c r="M502" s="47"/>
      <c r="N502" s="45"/>
    </row>
    <row r="503" customFormat="false" ht="18" hidden="false" customHeight="true" outlineLevel="0" collapsed="false">
      <c r="A503" s="44" t="str">
        <f aca="false">IF(B503="","",ROW()-4)</f>
        <v/>
      </c>
      <c r="B503" s="45"/>
      <c r="C503" s="46"/>
      <c r="D503" s="46"/>
      <c r="E503" s="47"/>
      <c r="F503" s="44" t="str">
        <f aca="true">IF(OR(B503="",E503="",C503="Done",C503="Cancelled"),"",E503-TODAY())</f>
        <v/>
      </c>
      <c r="G503" s="48" t="str">
        <f aca="true">IF(OR(B503="",C503="Done",C503="Cancelled"),"",IF(AND(E503&lt;&gt;"",E503&lt;TODAY()),"OVERDUE",IF(AND(E503&lt;&gt;"",E503=TODAY()),"DUE TODAY",IF(AND(K503&lt;&gt;"",K503&lt;=TODAY()),"FOLLOW UP",IF(AND(E503&lt;&gt;"",E503&lt;=TODAY()+3),"DUE SOON",IF(E503="","NO DUE DATE",""))))))</f>
        <v/>
      </c>
      <c r="H503" s="45"/>
      <c r="I503" s="46"/>
      <c r="J503" s="45"/>
      <c r="K503" s="47"/>
      <c r="L503" s="47"/>
      <c r="M503" s="47"/>
      <c r="N503" s="45"/>
    </row>
    <row r="504" customFormat="false" ht="18" hidden="false" customHeight="true" outlineLevel="0" collapsed="false">
      <c r="A504" s="44" t="str">
        <f aca="false">IF(B504="","",ROW()-4)</f>
        <v/>
      </c>
      <c r="B504" s="45"/>
      <c r="C504" s="46"/>
      <c r="D504" s="46"/>
      <c r="E504" s="47"/>
      <c r="F504" s="44" t="str">
        <f aca="true">IF(OR(B504="",E504="",C504="Done",C504="Cancelled"),"",E504-TODAY())</f>
        <v/>
      </c>
      <c r="G504" s="48" t="str">
        <f aca="true">IF(OR(B504="",C504="Done",C504="Cancelled"),"",IF(AND(E504&lt;&gt;"",E504&lt;TODAY()),"OVERDUE",IF(AND(E504&lt;&gt;"",E504=TODAY()),"DUE TODAY",IF(AND(K504&lt;&gt;"",K504&lt;=TODAY()),"FOLLOW UP",IF(AND(E504&lt;&gt;"",E504&lt;=TODAY()+3),"DUE SOON",IF(E504="","NO DUE DATE",""))))))</f>
        <v/>
      </c>
      <c r="H504" s="45"/>
      <c r="I504" s="46"/>
      <c r="J504" s="45"/>
      <c r="K504" s="47"/>
      <c r="L504" s="47"/>
      <c r="M504" s="47"/>
      <c r="N504" s="45"/>
    </row>
    <row r="505" customFormat="false" ht="18" hidden="false" customHeight="true" outlineLevel="0" collapsed="false">
      <c r="A505" s="44" t="str">
        <f aca="false">IF(B505="","",ROW()-4)</f>
        <v/>
      </c>
      <c r="B505" s="45"/>
      <c r="C505" s="46"/>
      <c r="D505" s="46"/>
      <c r="E505" s="47"/>
      <c r="F505" s="44" t="str">
        <f aca="true">IF(OR(B505="",E505="",C505="Done",C505="Cancelled"),"",E505-TODAY())</f>
        <v/>
      </c>
      <c r="G505" s="48" t="str">
        <f aca="true">IF(OR(B505="",C505="Done",C505="Cancelled"),"",IF(AND(E505&lt;&gt;"",E505&lt;TODAY()),"OVERDUE",IF(AND(E505&lt;&gt;"",E505=TODAY()),"DUE TODAY",IF(AND(K505&lt;&gt;"",K505&lt;=TODAY()),"FOLLOW UP",IF(AND(E505&lt;&gt;"",E505&lt;=TODAY()+3),"DUE SOON",IF(E505="","NO DUE DATE",""))))))</f>
        <v/>
      </c>
      <c r="H505" s="45"/>
      <c r="I505" s="46"/>
      <c r="J505" s="45"/>
      <c r="K505" s="47"/>
      <c r="L505" s="47"/>
      <c r="M505" s="47"/>
      <c r="N505" s="45"/>
    </row>
    <row r="506" customFormat="false" ht="18" hidden="false" customHeight="true" outlineLevel="0" collapsed="false">
      <c r="A506" s="44" t="str">
        <f aca="false">IF(B506="","",ROW()-4)</f>
        <v/>
      </c>
      <c r="B506" s="45"/>
      <c r="C506" s="46"/>
      <c r="D506" s="46"/>
      <c r="E506" s="47"/>
      <c r="F506" s="44" t="str">
        <f aca="true">IF(OR(B506="",E506="",C506="Done",C506="Cancelled"),"",E506-TODAY())</f>
        <v/>
      </c>
      <c r="G506" s="48" t="str">
        <f aca="true">IF(OR(B506="",C506="Done",C506="Cancelled"),"",IF(AND(E506&lt;&gt;"",E506&lt;TODAY()),"OVERDUE",IF(AND(E506&lt;&gt;"",E506=TODAY()),"DUE TODAY",IF(AND(K506&lt;&gt;"",K506&lt;=TODAY()),"FOLLOW UP",IF(AND(E506&lt;&gt;"",E506&lt;=TODAY()+3),"DUE SOON",IF(E506="","NO DUE DATE",""))))))</f>
        <v/>
      </c>
      <c r="H506" s="45"/>
      <c r="I506" s="46"/>
      <c r="J506" s="45"/>
      <c r="K506" s="47"/>
      <c r="L506" s="47"/>
      <c r="M506" s="47"/>
      <c r="N506" s="45"/>
    </row>
    <row r="507" customFormat="false" ht="18" hidden="false" customHeight="true" outlineLevel="0" collapsed="false">
      <c r="A507" s="44" t="str">
        <f aca="false">IF(B507="","",ROW()-4)</f>
        <v/>
      </c>
      <c r="B507" s="45"/>
      <c r="C507" s="46"/>
      <c r="D507" s="46"/>
      <c r="E507" s="47"/>
      <c r="F507" s="44" t="str">
        <f aca="true">IF(OR(B507="",E507="",C507="Done",C507="Cancelled"),"",E507-TODAY())</f>
        <v/>
      </c>
      <c r="G507" s="48" t="str">
        <f aca="true">IF(OR(B507="",C507="Done",C507="Cancelled"),"",IF(AND(E507&lt;&gt;"",E507&lt;TODAY()),"OVERDUE",IF(AND(E507&lt;&gt;"",E507=TODAY()),"DUE TODAY",IF(AND(K507&lt;&gt;"",K507&lt;=TODAY()),"FOLLOW UP",IF(AND(E507&lt;&gt;"",E507&lt;=TODAY()+3),"DUE SOON",IF(E507="","NO DUE DATE",""))))))</f>
        <v/>
      </c>
      <c r="H507" s="45"/>
      <c r="I507" s="46"/>
      <c r="J507" s="45"/>
      <c r="K507" s="47"/>
      <c r="L507" s="47"/>
      <c r="M507" s="47"/>
      <c r="N507" s="45"/>
    </row>
    <row r="508" customFormat="false" ht="18" hidden="false" customHeight="true" outlineLevel="0" collapsed="false">
      <c r="A508" s="44" t="str">
        <f aca="false">IF(B508="","",ROW()-4)</f>
        <v/>
      </c>
      <c r="B508" s="45"/>
      <c r="C508" s="46"/>
      <c r="D508" s="46"/>
      <c r="E508" s="47"/>
      <c r="F508" s="44" t="str">
        <f aca="true">IF(OR(B508="",E508="",C508="Done",C508="Cancelled"),"",E508-TODAY())</f>
        <v/>
      </c>
      <c r="G508" s="48" t="str">
        <f aca="true">IF(OR(B508="",C508="Done",C508="Cancelled"),"",IF(AND(E508&lt;&gt;"",E508&lt;TODAY()),"OVERDUE",IF(AND(E508&lt;&gt;"",E508=TODAY()),"DUE TODAY",IF(AND(K508&lt;&gt;"",K508&lt;=TODAY()),"FOLLOW UP",IF(AND(E508&lt;&gt;"",E508&lt;=TODAY()+3),"DUE SOON",IF(E508="","NO DUE DATE",""))))))</f>
        <v/>
      </c>
      <c r="H508" s="45"/>
      <c r="I508" s="46"/>
      <c r="J508" s="45"/>
      <c r="K508" s="47"/>
      <c r="L508" s="47"/>
      <c r="M508" s="47"/>
      <c r="N508" s="45"/>
    </row>
    <row r="509" customFormat="false" ht="18" hidden="false" customHeight="true" outlineLevel="0" collapsed="false">
      <c r="A509" s="44" t="str">
        <f aca="false">IF(B509="","",ROW()-4)</f>
        <v/>
      </c>
      <c r="B509" s="45"/>
      <c r="C509" s="46"/>
      <c r="D509" s="46"/>
      <c r="E509" s="47"/>
      <c r="F509" s="44" t="str">
        <f aca="true">IF(OR(B509="",E509="",C509="Done",C509="Cancelled"),"",E509-TODAY())</f>
        <v/>
      </c>
      <c r="G509" s="48" t="str">
        <f aca="true">IF(OR(B509="",C509="Done",C509="Cancelled"),"",IF(AND(E509&lt;&gt;"",E509&lt;TODAY()),"OVERDUE",IF(AND(E509&lt;&gt;"",E509=TODAY()),"DUE TODAY",IF(AND(K509&lt;&gt;"",K509&lt;=TODAY()),"FOLLOW UP",IF(AND(E509&lt;&gt;"",E509&lt;=TODAY()+3),"DUE SOON",IF(E509="","NO DUE DATE",""))))))</f>
        <v/>
      </c>
      <c r="H509" s="45"/>
      <c r="I509" s="46"/>
      <c r="J509" s="45"/>
      <c r="K509" s="47"/>
      <c r="L509" s="47"/>
      <c r="M509" s="47"/>
      <c r="N509" s="45"/>
    </row>
    <row r="510" customFormat="false" ht="18" hidden="false" customHeight="true" outlineLevel="0" collapsed="false">
      <c r="A510" s="44" t="str">
        <f aca="false">IF(B510="","",ROW()-4)</f>
        <v/>
      </c>
      <c r="B510" s="45"/>
      <c r="C510" s="46"/>
      <c r="D510" s="46"/>
      <c r="E510" s="47"/>
      <c r="F510" s="44" t="str">
        <f aca="true">IF(OR(B510="",E510="",C510="Done",C510="Cancelled"),"",E510-TODAY())</f>
        <v/>
      </c>
      <c r="G510" s="48" t="str">
        <f aca="true">IF(OR(B510="",C510="Done",C510="Cancelled"),"",IF(AND(E510&lt;&gt;"",E510&lt;TODAY()),"OVERDUE",IF(AND(E510&lt;&gt;"",E510=TODAY()),"DUE TODAY",IF(AND(K510&lt;&gt;"",K510&lt;=TODAY()),"FOLLOW UP",IF(AND(E510&lt;&gt;"",E510&lt;=TODAY()+3),"DUE SOON",IF(E510="","NO DUE DATE",""))))))</f>
        <v/>
      </c>
      <c r="H510" s="45"/>
      <c r="I510" s="46"/>
      <c r="J510" s="45"/>
      <c r="K510" s="47"/>
      <c r="L510" s="47"/>
      <c r="M510" s="47"/>
      <c r="N510" s="45"/>
    </row>
    <row r="511" customFormat="false" ht="18" hidden="false" customHeight="true" outlineLevel="0" collapsed="false">
      <c r="A511" s="44" t="str">
        <f aca="false">IF(B511="","",ROW()-4)</f>
        <v/>
      </c>
      <c r="B511" s="45"/>
      <c r="C511" s="46"/>
      <c r="D511" s="46"/>
      <c r="E511" s="47"/>
      <c r="F511" s="44" t="str">
        <f aca="true">IF(OR(B511="",E511="",C511="Done",C511="Cancelled"),"",E511-TODAY())</f>
        <v/>
      </c>
      <c r="G511" s="48" t="str">
        <f aca="true">IF(OR(B511="",C511="Done",C511="Cancelled"),"",IF(AND(E511&lt;&gt;"",E511&lt;TODAY()),"OVERDUE",IF(AND(E511&lt;&gt;"",E511=TODAY()),"DUE TODAY",IF(AND(K511&lt;&gt;"",K511&lt;=TODAY()),"FOLLOW UP",IF(AND(E511&lt;&gt;"",E511&lt;=TODAY()+3),"DUE SOON",IF(E511="","NO DUE DATE",""))))))</f>
        <v/>
      </c>
      <c r="H511" s="45"/>
      <c r="I511" s="46"/>
      <c r="J511" s="45"/>
      <c r="K511" s="47"/>
      <c r="L511" s="47"/>
      <c r="M511" s="47"/>
      <c r="N511" s="45"/>
    </row>
    <row r="512" customFormat="false" ht="18" hidden="false" customHeight="true" outlineLevel="0" collapsed="false">
      <c r="A512" s="44" t="str">
        <f aca="false">IF(B512="","",ROW()-4)</f>
        <v/>
      </c>
      <c r="B512" s="45"/>
      <c r="C512" s="46"/>
      <c r="D512" s="46"/>
      <c r="E512" s="47"/>
      <c r="F512" s="44" t="str">
        <f aca="true">IF(OR(B512="",E512="",C512="Done",C512="Cancelled"),"",E512-TODAY())</f>
        <v/>
      </c>
      <c r="G512" s="48" t="str">
        <f aca="true">IF(OR(B512="",C512="Done",C512="Cancelled"),"",IF(AND(E512&lt;&gt;"",E512&lt;TODAY()),"OVERDUE",IF(AND(E512&lt;&gt;"",E512=TODAY()),"DUE TODAY",IF(AND(K512&lt;&gt;"",K512&lt;=TODAY()),"FOLLOW UP",IF(AND(E512&lt;&gt;"",E512&lt;=TODAY()+3),"DUE SOON",IF(E512="","NO DUE DATE",""))))))</f>
        <v/>
      </c>
      <c r="H512" s="45"/>
      <c r="I512" s="46"/>
      <c r="J512" s="45"/>
      <c r="K512" s="47"/>
      <c r="L512" s="47"/>
      <c r="M512" s="47"/>
      <c r="N512" s="45"/>
    </row>
    <row r="513" customFormat="false" ht="18" hidden="false" customHeight="true" outlineLevel="0" collapsed="false">
      <c r="A513" s="44" t="str">
        <f aca="false">IF(B513="","",ROW()-4)</f>
        <v/>
      </c>
      <c r="B513" s="45"/>
      <c r="C513" s="46"/>
      <c r="D513" s="46"/>
      <c r="E513" s="47"/>
      <c r="F513" s="44" t="str">
        <f aca="true">IF(OR(B513="",E513="",C513="Done",C513="Cancelled"),"",E513-TODAY())</f>
        <v/>
      </c>
      <c r="G513" s="48" t="str">
        <f aca="true">IF(OR(B513="",C513="Done",C513="Cancelled"),"",IF(AND(E513&lt;&gt;"",E513&lt;TODAY()),"OVERDUE",IF(AND(E513&lt;&gt;"",E513=TODAY()),"DUE TODAY",IF(AND(K513&lt;&gt;"",K513&lt;=TODAY()),"FOLLOW UP",IF(AND(E513&lt;&gt;"",E513&lt;=TODAY()+3),"DUE SOON",IF(E513="","NO DUE DATE",""))))))</f>
        <v/>
      </c>
      <c r="H513" s="45"/>
      <c r="I513" s="46"/>
      <c r="J513" s="45"/>
      <c r="K513" s="47"/>
      <c r="L513" s="47"/>
      <c r="M513" s="47"/>
      <c r="N513" s="45"/>
    </row>
    <row r="514" customFormat="false" ht="18" hidden="false" customHeight="true" outlineLevel="0" collapsed="false">
      <c r="A514" s="44" t="str">
        <f aca="false">IF(B514="","",ROW()-4)</f>
        <v/>
      </c>
      <c r="B514" s="45"/>
      <c r="C514" s="46"/>
      <c r="D514" s="46"/>
      <c r="E514" s="47"/>
      <c r="F514" s="44" t="str">
        <f aca="true">IF(OR(B514="",E514="",C514="Done",C514="Cancelled"),"",E514-TODAY())</f>
        <v/>
      </c>
      <c r="G514" s="48" t="str">
        <f aca="true">IF(OR(B514="",C514="Done",C514="Cancelled"),"",IF(AND(E514&lt;&gt;"",E514&lt;TODAY()),"OVERDUE",IF(AND(E514&lt;&gt;"",E514=TODAY()),"DUE TODAY",IF(AND(K514&lt;&gt;"",K514&lt;=TODAY()),"FOLLOW UP",IF(AND(E514&lt;&gt;"",E514&lt;=TODAY()+3),"DUE SOON",IF(E514="","NO DUE DATE",""))))))</f>
        <v/>
      </c>
      <c r="H514" s="45"/>
      <c r="I514" s="46"/>
      <c r="J514" s="45"/>
      <c r="K514" s="47"/>
      <c r="L514" s="47"/>
      <c r="M514" s="47"/>
      <c r="N514" s="45"/>
    </row>
    <row r="515" customFormat="false" ht="18" hidden="false" customHeight="true" outlineLevel="0" collapsed="false">
      <c r="A515" s="44" t="str">
        <f aca="false">IF(B515="","",ROW()-4)</f>
        <v/>
      </c>
      <c r="B515" s="45"/>
      <c r="C515" s="46"/>
      <c r="D515" s="46"/>
      <c r="E515" s="47"/>
      <c r="F515" s="44" t="str">
        <f aca="true">IF(OR(B515="",E515="",C515="Done",C515="Cancelled"),"",E515-TODAY())</f>
        <v/>
      </c>
      <c r="G515" s="48" t="str">
        <f aca="true">IF(OR(B515="",C515="Done",C515="Cancelled"),"",IF(AND(E515&lt;&gt;"",E515&lt;TODAY()),"OVERDUE",IF(AND(E515&lt;&gt;"",E515=TODAY()),"DUE TODAY",IF(AND(K515&lt;&gt;"",K515&lt;=TODAY()),"FOLLOW UP",IF(AND(E515&lt;&gt;"",E515&lt;=TODAY()+3),"DUE SOON",IF(E515="","NO DUE DATE",""))))))</f>
        <v/>
      </c>
      <c r="H515" s="45"/>
      <c r="I515" s="46"/>
      <c r="J515" s="45"/>
      <c r="K515" s="47"/>
      <c r="L515" s="47"/>
      <c r="M515" s="47"/>
      <c r="N515" s="45"/>
    </row>
    <row r="516" customFormat="false" ht="18" hidden="false" customHeight="true" outlineLevel="0" collapsed="false">
      <c r="A516" s="44" t="str">
        <f aca="false">IF(B516="","",ROW()-4)</f>
        <v/>
      </c>
      <c r="B516" s="45"/>
      <c r="C516" s="46"/>
      <c r="D516" s="46"/>
      <c r="E516" s="47"/>
      <c r="F516" s="44" t="str">
        <f aca="true">IF(OR(B516="",E516="",C516="Done",C516="Cancelled"),"",E516-TODAY())</f>
        <v/>
      </c>
      <c r="G516" s="48" t="str">
        <f aca="true">IF(OR(B516="",C516="Done",C516="Cancelled"),"",IF(AND(E516&lt;&gt;"",E516&lt;TODAY()),"OVERDUE",IF(AND(E516&lt;&gt;"",E516=TODAY()),"DUE TODAY",IF(AND(K516&lt;&gt;"",K516&lt;=TODAY()),"FOLLOW UP",IF(AND(E516&lt;&gt;"",E516&lt;=TODAY()+3),"DUE SOON",IF(E516="","NO DUE DATE",""))))))</f>
        <v/>
      </c>
      <c r="H516" s="45"/>
      <c r="I516" s="46"/>
      <c r="J516" s="45"/>
      <c r="K516" s="47"/>
      <c r="L516" s="47"/>
      <c r="M516" s="47"/>
      <c r="N516" s="45"/>
    </row>
    <row r="517" customFormat="false" ht="18" hidden="false" customHeight="true" outlineLevel="0" collapsed="false">
      <c r="A517" s="44" t="str">
        <f aca="false">IF(B517="","",ROW()-4)</f>
        <v/>
      </c>
      <c r="B517" s="45"/>
      <c r="C517" s="46"/>
      <c r="D517" s="46"/>
      <c r="E517" s="47"/>
      <c r="F517" s="44" t="str">
        <f aca="true">IF(OR(B517="",E517="",C517="Done",C517="Cancelled"),"",E517-TODAY())</f>
        <v/>
      </c>
      <c r="G517" s="48" t="str">
        <f aca="true">IF(OR(B517="",C517="Done",C517="Cancelled"),"",IF(AND(E517&lt;&gt;"",E517&lt;TODAY()),"OVERDUE",IF(AND(E517&lt;&gt;"",E517=TODAY()),"DUE TODAY",IF(AND(K517&lt;&gt;"",K517&lt;=TODAY()),"FOLLOW UP",IF(AND(E517&lt;&gt;"",E517&lt;=TODAY()+3),"DUE SOON",IF(E517="","NO DUE DATE",""))))))</f>
        <v/>
      </c>
      <c r="H517" s="45"/>
      <c r="I517" s="46"/>
      <c r="J517" s="45"/>
      <c r="K517" s="47"/>
      <c r="L517" s="47"/>
      <c r="M517" s="47"/>
      <c r="N517" s="45"/>
    </row>
    <row r="518" customFormat="false" ht="18" hidden="false" customHeight="true" outlineLevel="0" collapsed="false">
      <c r="A518" s="44" t="str">
        <f aca="false">IF(B518="","",ROW()-4)</f>
        <v/>
      </c>
      <c r="B518" s="45"/>
      <c r="C518" s="46"/>
      <c r="D518" s="46"/>
      <c r="E518" s="47"/>
      <c r="F518" s="44" t="str">
        <f aca="true">IF(OR(B518="",E518="",C518="Done",C518="Cancelled"),"",E518-TODAY())</f>
        <v/>
      </c>
      <c r="G518" s="48" t="str">
        <f aca="true">IF(OR(B518="",C518="Done",C518="Cancelled"),"",IF(AND(E518&lt;&gt;"",E518&lt;TODAY()),"OVERDUE",IF(AND(E518&lt;&gt;"",E518=TODAY()),"DUE TODAY",IF(AND(K518&lt;&gt;"",K518&lt;=TODAY()),"FOLLOW UP",IF(AND(E518&lt;&gt;"",E518&lt;=TODAY()+3),"DUE SOON",IF(E518="","NO DUE DATE",""))))))</f>
        <v/>
      </c>
      <c r="H518" s="45"/>
      <c r="I518" s="46"/>
      <c r="J518" s="45"/>
      <c r="K518" s="47"/>
      <c r="L518" s="47"/>
      <c r="M518" s="47"/>
      <c r="N518" s="45"/>
    </row>
    <row r="519" customFormat="false" ht="18" hidden="false" customHeight="true" outlineLevel="0" collapsed="false">
      <c r="A519" s="44" t="str">
        <f aca="false">IF(B519="","",ROW()-4)</f>
        <v/>
      </c>
      <c r="B519" s="45"/>
      <c r="C519" s="46"/>
      <c r="D519" s="46"/>
      <c r="E519" s="47"/>
      <c r="F519" s="44" t="str">
        <f aca="true">IF(OR(B519="",E519="",C519="Done",C519="Cancelled"),"",E519-TODAY())</f>
        <v/>
      </c>
      <c r="G519" s="48" t="str">
        <f aca="true">IF(OR(B519="",C519="Done",C519="Cancelled"),"",IF(AND(E519&lt;&gt;"",E519&lt;TODAY()),"OVERDUE",IF(AND(E519&lt;&gt;"",E519=TODAY()),"DUE TODAY",IF(AND(K519&lt;&gt;"",K519&lt;=TODAY()),"FOLLOW UP",IF(AND(E519&lt;&gt;"",E519&lt;=TODAY()+3),"DUE SOON",IF(E519="","NO DUE DATE",""))))))</f>
        <v/>
      </c>
      <c r="H519" s="45"/>
      <c r="I519" s="46"/>
      <c r="J519" s="45"/>
      <c r="K519" s="47"/>
      <c r="L519" s="47"/>
      <c r="M519" s="47"/>
      <c r="N519" s="45"/>
    </row>
    <row r="520" customFormat="false" ht="18" hidden="false" customHeight="true" outlineLevel="0" collapsed="false">
      <c r="A520" s="44" t="str">
        <f aca="false">IF(B520="","",ROW()-4)</f>
        <v/>
      </c>
      <c r="B520" s="45"/>
      <c r="C520" s="46"/>
      <c r="D520" s="46"/>
      <c r="E520" s="47"/>
      <c r="F520" s="44" t="str">
        <f aca="true">IF(OR(B520="",E520="",C520="Done",C520="Cancelled"),"",E520-TODAY())</f>
        <v/>
      </c>
      <c r="G520" s="48" t="str">
        <f aca="true">IF(OR(B520="",C520="Done",C520="Cancelled"),"",IF(AND(E520&lt;&gt;"",E520&lt;TODAY()),"OVERDUE",IF(AND(E520&lt;&gt;"",E520=TODAY()),"DUE TODAY",IF(AND(K520&lt;&gt;"",K520&lt;=TODAY()),"FOLLOW UP",IF(AND(E520&lt;&gt;"",E520&lt;=TODAY()+3),"DUE SOON",IF(E520="","NO DUE DATE",""))))))</f>
        <v/>
      </c>
      <c r="H520" s="45"/>
      <c r="I520" s="46"/>
      <c r="J520" s="45"/>
      <c r="K520" s="47"/>
      <c r="L520" s="47"/>
      <c r="M520" s="47"/>
      <c r="N520" s="45"/>
    </row>
    <row r="521" customFormat="false" ht="18" hidden="false" customHeight="true" outlineLevel="0" collapsed="false">
      <c r="A521" s="44" t="str">
        <f aca="false">IF(B521="","",ROW()-4)</f>
        <v/>
      </c>
      <c r="B521" s="45"/>
      <c r="C521" s="46"/>
      <c r="D521" s="46"/>
      <c r="E521" s="47"/>
      <c r="F521" s="44" t="str">
        <f aca="true">IF(OR(B521="",E521="",C521="Done",C521="Cancelled"),"",E521-TODAY())</f>
        <v/>
      </c>
      <c r="G521" s="48" t="str">
        <f aca="true">IF(OR(B521="",C521="Done",C521="Cancelled"),"",IF(AND(E521&lt;&gt;"",E521&lt;TODAY()),"OVERDUE",IF(AND(E521&lt;&gt;"",E521=TODAY()),"DUE TODAY",IF(AND(K521&lt;&gt;"",K521&lt;=TODAY()),"FOLLOW UP",IF(AND(E521&lt;&gt;"",E521&lt;=TODAY()+3),"DUE SOON",IF(E521="","NO DUE DATE",""))))))</f>
        <v/>
      </c>
      <c r="H521" s="45"/>
      <c r="I521" s="46"/>
      <c r="J521" s="45"/>
      <c r="K521" s="47"/>
      <c r="L521" s="47"/>
      <c r="M521" s="47"/>
      <c r="N521" s="45"/>
    </row>
    <row r="522" customFormat="false" ht="18" hidden="false" customHeight="true" outlineLevel="0" collapsed="false">
      <c r="A522" s="44" t="str">
        <f aca="false">IF(B522="","",ROW()-4)</f>
        <v/>
      </c>
      <c r="B522" s="45"/>
      <c r="C522" s="46"/>
      <c r="D522" s="46"/>
      <c r="E522" s="47"/>
      <c r="F522" s="44" t="str">
        <f aca="true">IF(OR(B522="",E522="",C522="Done",C522="Cancelled"),"",E522-TODAY())</f>
        <v/>
      </c>
      <c r="G522" s="48" t="str">
        <f aca="true">IF(OR(B522="",C522="Done",C522="Cancelled"),"",IF(AND(E522&lt;&gt;"",E522&lt;TODAY()),"OVERDUE",IF(AND(E522&lt;&gt;"",E522=TODAY()),"DUE TODAY",IF(AND(K522&lt;&gt;"",K522&lt;=TODAY()),"FOLLOW UP",IF(AND(E522&lt;&gt;"",E522&lt;=TODAY()+3),"DUE SOON",IF(E522="","NO DUE DATE",""))))))</f>
        <v/>
      </c>
      <c r="H522" s="45"/>
      <c r="I522" s="46"/>
      <c r="J522" s="45"/>
      <c r="K522" s="47"/>
      <c r="L522" s="47"/>
      <c r="M522" s="47"/>
      <c r="N522" s="45"/>
    </row>
    <row r="523" customFormat="false" ht="18" hidden="false" customHeight="true" outlineLevel="0" collapsed="false">
      <c r="A523" s="44" t="str">
        <f aca="false">IF(B523="","",ROW()-4)</f>
        <v/>
      </c>
      <c r="B523" s="45"/>
      <c r="C523" s="46"/>
      <c r="D523" s="46"/>
      <c r="E523" s="47"/>
      <c r="F523" s="44" t="str">
        <f aca="true">IF(OR(B523="",E523="",C523="Done",C523="Cancelled"),"",E523-TODAY())</f>
        <v/>
      </c>
      <c r="G523" s="48" t="str">
        <f aca="true">IF(OR(B523="",C523="Done",C523="Cancelled"),"",IF(AND(E523&lt;&gt;"",E523&lt;TODAY()),"OVERDUE",IF(AND(E523&lt;&gt;"",E523=TODAY()),"DUE TODAY",IF(AND(K523&lt;&gt;"",K523&lt;=TODAY()),"FOLLOW UP",IF(AND(E523&lt;&gt;"",E523&lt;=TODAY()+3),"DUE SOON",IF(E523="","NO DUE DATE",""))))))</f>
        <v/>
      </c>
      <c r="H523" s="45"/>
      <c r="I523" s="46"/>
      <c r="J523" s="45"/>
      <c r="K523" s="47"/>
      <c r="L523" s="47"/>
      <c r="M523" s="47"/>
      <c r="N523" s="45"/>
    </row>
    <row r="524" customFormat="false" ht="18" hidden="false" customHeight="true" outlineLevel="0" collapsed="false">
      <c r="A524" s="44" t="str">
        <f aca="false">IF(B524="","",ROW()-4)</f>
        <v/>
      </c>
      <c r="B524" s="45"/>
      <c r="C524" s="46"/>
      <c r="D524" s="46"/>
      <c r="E524" s="47"/>
      <c r="F524" s="44" t="str">
        <f aca="true">IF(OR(B524="",E524="",C524="Done",C524="Cancelled"),"",E524-TODAY())</f>
        <v/>
      </c>
      <c r="G524" s="48" t="str">
        <f aca="true">IF(OR(B524="",C524="Done",C524="Cancelled"),"",IF(AND(E524&lt;&gt;"",E524&lt;TODAY()),"OVERDUE",IF(AND(E524&lt;&gt;"",E524=TODAY()),"DUE TODAY",IF(AND(K524&lt;&gt;"",K524&lt;=TODAY()),"FOLLOW UP",IF(AND(E524&lt;&gt;"",E524&lt;=TODAY()+3),"DUE SOON",IF(E524="","NO DUE DATE",""))))))</f>
        <v/>
      </c>
      <c r="H524" s="45"/>
      <c r="I524" s="46"/>
      <c r="J524" s="45"/>
      <c r="K524" s="47"/>
      <c r="L524" s="47"/>
      <c r="M524" s="47"/>
      <c r="N524" s="45"/>
    </row>
    <row r="525" customFormat="false" ht="18" hidden="false" customHeight="true" outlineLevel="0" collapsed="false">
      <c r="A525" s="44" t="str">
        <f aca="false">IF(B525="","",ROW()-4)</f>
        <v/>
      </c>
      <c r="B525" s="45"/>
      <c r="C525" s="46"/>
      <c r="D525" s="46"/>
      <c r="E525" s="47"/>
      <c r="F525" s="44" t="str">
        <f aca="true">IF(OR(B525="",E525="",C525="Done",C525="Cancelled"),"",E525-TODAY())</f>
        <v/>
      </c>
      <c r="G525" s="48" t="str">
        <f aca="true">IF(OR(B525="",C525="Done",C525="Cancelled"),"",IF(AND(E525&lt;&gt;"",E525&lt;TODAY()),"OVERDUE",IF(AND(E525&lt;&gt;"",E525=TODAY()),"DUE TODAY",IF(AND(K525&lt;&gt;"",K525&lt;=TODAY()),"FOLLOW UP",IF(AND(E525&lt;&gt;"",E525&lt;=TODAY()+3),"DUE SOON",IF(E525="","NO DUE DATE",""))))))</f>
        <v/>
      </c>
      <c r="H525" s="45"/>
      <c r="I525" s="46"/>
      <c r="J525" s="45"/>
      <c r="K525" s="47"/>
      <c r="L525" s="47"/>
      <c r="M525" s="47"/>
      <c r="N525" s="45"/>
    </row>
    <row r="526" customFormat="false" ht="18" hidden="false" customHeight="true" outlineLevel="0" collapsed="false">
      <c r="A526" s="44" t="str">
        <f aca="false">IF(B526="","",ROW()-4)</f>
        <v/>
      </c>
      <c r="B526" s="45"/>
      <c r="C526" s="46"/>
      <c r="D526" s="46"/>
      <c r="E526" s="47"/>
      <c r="F526" s="44" t="str">
        <f aca="true">IF(OR(B526="",E526="",C526="Done",C526="Cancelled"),"",E526-TODAY())</f>
        <v/>
      </c>
      <c r="G526" s="48" t="str">
        <f aca="true">IF(OR(B526="",C526="Done",C526="Cancelled"),"",IF(AND(E526&lt;&gt;"",E526&lt;TODAY()),"OVERDUE",IF(AND(E526&lt;&gt;"",E526=TODAY()),"DUE TODAY",IF(AND(K526&lt;&gt;"",K526&lt;=TODAY()),"FOLLOW UP",IF(AND(E526&lt;&gt;"",E526&lt;=TODAY()+3),"DUE SOON",IF(E526="","NO DUE DATE",""))))))</f>
        <v/>
      </c>
      <c r="H526" s="45"/>
      <c r="I526" s="46"/>
      <c r="J526" s="45"/>
      <c r="K526" s="47"/>
      <c r="L526" s="47"/>
      <c r="M526" s="47"/>
      <c r="N526" s="45"/>
    </row>
    <row r="527" customFormat="false" ht="18" hidden="false" customHeight="true" outlineLevel="0" collapsed="false">
      <c r="A527" s="44" t="str">
        <f aca="false">IF(B527="","",ROW()-4)</f>
        <v/>
      </c>
      <c r="B527" s="45"/>
      <c r="C527" s="46"/>
      <c r="D527" s="46"/>
      <c r="E527" s="47"/>
      <c r="F527" s="44" t="str">
        <f aca="true">IF(OR(B527="",E527="",C527="Done",C527="Cancelled"),"",E527-TODAY())</f>
        <v/>
      </c>
      <c r="G527" s="48" t="str">
        <f aca="true">IF(OR(B527="",C527="Done",C527="Cancelled"),"",IF(AND(E527&lt;&gt;"",E527&lt;TODAY()),"OVERDUE",IF(AND(E527&lt;&gt;"",E527=TODAY()),"DUE TODAY",IF(AND(K527&lt;&gt;"",K527&lt;=TODAY()),"FOLLOW UP",IF(AND(E527&lt;&gt;"",E527&lt;=TODAY()+3),"DUE SOON",IF(E527="","NO DUE DATE",""))))))</f>
        <v/>
      </c>
      <c r="H527" s="45"/>
      <c r="I527" s="46"/>
      <c r="J527" s="45"/>
      <c r="K527" s="47"/>
      <c r="L527" s="47"/>
      <c r="M527" s="47"/>
      <c r="N527" s="45"/>
    </row>
    <row r="528" customFormat="false" ht="18" hidden="false" customHeight="true" outlineLevel="0" collapsed="false">
      <c r="A528" s="44" t="str">
        <f aca="false">IF(B528="","",ROW()-4)</f>
        <v/>
      </c>
      <c r="B528" s="45"/>
      <c r="C528" s="46"/>
      <c r="D528" s="46"/>
      <c r="E528" s="47"/>
      <c r="F528" s="44" t="str">
        <f aca="true">IF(OR(B528="",E528="",C528="Done",C528="Cancelled"),"",E528-TODAY())</f>
        <v/>
      </c>
      <c r="G528" s="48" t="str">
        <f aca="true">IF(OR(B528="",C528="Done",C528="Cancelled"),"",IF(AND(E528&lt;&gt;"",E528&lt;TODAY()),"OVERDUE",IF(AND(E528&lt;&gt;"",E528=TODAY()),"DUE TODAY",IF(AND(K528&lt;&gt;"",K528&lt;=TODAY()),"FOLLOW UP",IF(AND(E528&lt;&gt;"",E528&lt;=TODAY()+3),"DUE SOON",IF(E528="","NO DUE DATE",""))))))</f>
        <v/>
      </c>
      <c r="H528" s="45"/>
      <c r="I528" s="46"/>
      <c r="J528" s="45"/>
      <c r="K528" s="47"/>
      <c r="L528" s="47"/>
      <c r="M528" s="47"/>
      <c r="N528" s="45"/>
    </row>
    <row r="529" customFormat="false" ht="18" hidden="false" customHeight="true" outlineLevel="0" collapsed="false">
      <c r="A529" s="44" t="str">
        <f aca="false">IF(B529="","",ROW()-4)</f>
        <v/>
      </c>
      <c r="B529" s="45"/>
      <c r="C529" s="46"/>
      <c r="D529" s="46"/>
      <c r="E529" s="47"/>
      <c r="F529" s="44" t="str">
        <f aca="true">IF(OR(B529="",E529="",C529="Done",C529="Cancelled"),"",E529-TODAY())</f>
        <v/>
      </c>
      <c r="G529" s="48" t="str">
        <f aca="true">IF(OR(B529="",C529="Done",C529="Cancelled"),"",IF(AND(E529&lt;&gt;"",E529&lt;TODAY()),"OVERDUE",IF(AND(E529&lt;&gt;"",E529=TODAY()),"DUE TODAY",IF(AND(K529&lt;&gt;"",K529&lt;=TODAY()),"FOLLOW UP",IF(AND(E529&lt;&gt;"",E529&lt;=TODAY()+3),"DUE SOON",IF(E529="","NO DUE DATE",""))))))</f>
        <v/>
      </c>
      <c r="H529" s="45"/>
      <c r="I529" s="46"/>
      <c r="J529" s="45"/>
      <c r="K529" s="47"/>
      <c r="L529" s="47"/>
      <c r="M529" s="47"/>
      <c r="N529" s="45"/>
    </row>
    <row r="530" customFormat="false" ht="18" hidden="false" customHeight="true" outlineLevel="0" collapsed="false">
      <c r="A530" s="44" t="str">
        <f aca="false">IF(B530="","",ROW()-4)</f>
        <v/>
      </c>
      <c r="B530" s="45"/>
      <c r="C530" s="46"/>
      <c r="D530" s="46"/>
      <c r="E530" s="47"/>
      <c r="F530" s="44" t="str">
        <f aca="true">IF(OR(B530="",E530="",C530="Done",C530="Cancelled"),"",E530-TODAY())</f>
        <v/>
      </c>
      <c r="G530" s="48" t="str">
        <f aca="true">IF(OR(B530="",C530="Done",C530="Cancelled"),"",IF(AND(E530&lt;&gt;"",E530&lt;TODAY()),"OVERDUE",IF(AND(E530&lt;&gt;"",E530=TODAY()),"DUE TODAY",IF(AND(K530&lt;&gt;"",K530&lt;=TODAY()),"FOLLOW UP",IF(AND(E530&lt;&gt;"",E530&lt;=TODAY()+3),"DUE SOON",IF(E530="","NO DUE DATE",""))))))</f>
        <v/>
      </c>
      <c r="H530" s="45"/>
      <c r="I530" s="46"/>
      <c r="J530" s="45"/>
      <c r="K530" s="47"/>
      <c r="L530" s="47"/>
      <c r="M530" s="47"/>
      <c r="N530" s="45"/>
    </row>
    <row r="531" customFormat="false" ht="18" hidden="false" customHeight="true" outlineLevel="0" collapsed="false">
      <c r="A531" s="44" t="str">
        <f aca="false">IF(B531="","",ROW()-4)</f>
        <v/>
      </c>
      <c r="B531" s="45"/>
      <c r="C531" s="46"/>
      <c r="D531" s="46"/>
      <c r="E531" s="47"/>
      <c r="F531" s="44" t="str">
        <f aca="true">IF(OR(B531="",E531="",C531="Done",C531="Cancelled"),"",E531-TODAY())</f>
        <v/>
      </c>
      <c r="G531" s="48" t="str">
        <f aca="true">IF(OR(B531="",C531="Done",C531="Cancelled"),"",IF(AND(E531&lt;&gt;"",E531&lt;TODAY()),"OVERDUE",IF(AND(E531&lt;&gt;"",E531=TODAY()),"DUE TODAY",IF(AND(K531&lt;&gt;"",K531&lt;=TODAY()),"FOLLOW UP",IF(AND(E531&lt;&gt;"",E531&lt;=TODAY()+3),"DUE SOON",IF(E531="","NO DUE DATE",""))))))</f>
        <v/>
      </c>
      <c r="H531" s="45"/>
      <c r="I531" s="46"/>
      <c r="J531" s="45"/>
      <c r="K531" s="47"/>
      <c r="L531" s="47"/>
      <c r="M531" s="47"/>
      <c r="N531" s="45"/>
    </row>
    <row r="532" customFormat="false" ht="18" hidden="false" customHeight="true" outlineLevel="0" collapsed="false">
      <c r="A532" s="44" t="str">
        <f aca="false">IF(B532="","",ROW()-4)</f>
        <v/>
      </c>
      <c r="B532" s="45"/>
      <c r="C532" s="46"/>
      <c r="D532" s="46"/>
      <c r="E532" s="47"/>
      <c r="F532" s="44" t="str">
        <f aca="true">IF(OR(B532="",E532="",C532="Done",C532="Cancelled"),"",E532-TODAY())</f>
        <v/>
      </c>
      <c r="G532" s="48" t="str">
        <f aca="true">IF(OR(B532="",C532="Done",C532="Cancelled"),"",IF(AND(E532&lt;&gt;"",E532&lt;TODAY()),"OVERDUE",IF(AND(E532&lt;&gt;"",E532=TODAY()),"DUE TODAY",IF(AND(K532&lt;&gt;"",K532&lt;=TODAY()),"FOLLOW UP",IF(AND(E532&lt;&gt;"",E532&lt;=TODAY()+3),"DUE SOON",IF(E532="","NO DUE DATE",""))))))</f>
        <v/>
      </c>
      <c r="H532" s="45"/>
      <c r="I532" s="46"/>
      <c r="J532" s="45"/>
      <c r="K532" s="47"/>
      <c r="L532" s="47"/>
      <c r="M532" s="47"/>
      <c r="N532" s="45"/>
    </row>
    <row r="533" customFormat="false" ht="18" hidden="false" customHeight="true" outlineLevel="0" collapsed="false">
      <c r="A533" s="44" t="str">
        <f aca="false">IF(B533="","",ROW()-4)</f>
        <v/>
      </c>
      <c r="B533" s="45"/>
      <c r="C533" s="46"/>
      <c r="D533" s="46"/>
      <c r="E533" s="47"/>
      <c r="F533" s="44" t="str">
        <f aca="true">IF(OR(B533="",E533="",C533="Done",C533="Cancelled"),"",E533-TODAY())</f>
        <v/>
      </c>
      <c r="G533" s="48" t="str">
        <f aca="true">IF(OR(B533="",C533="Done",C533="Cancelled"),"",IF(AND(E533&lt;&gt;"",E533&lt;TODAY()),"OVERDUE",IF(AND(E533&lt;&gt;"",E533=TODAY()),"DUE TODAY",IF(AND(K533&lt;&gt;"",K533&lt;=TODAY()),"FOLLOW UP",IF(AND(E533&lt;&gt;"",E533&lt;=TODAY()+3),"DUE SOON",IF(E533="","NO DUE DATE",""))))))</f>
        <v/>
      </c>
      <c r="H533" s="45"/>
      <c r="I533" s="46"/>
      <c r="J533" s="45"/>
      <c r="K533" s="47"/>
      <c r="L533" s="47"/>
      <c r="M533" s="47"/>
      <c r="N533" s="45"/>
    </row>
    <row r="534" customFormat="false" ht="18" hidden="false" customHeight="true" outlineLevel="0" collapsed="false">
      <c r="A534" s="44" t="str">
        <f aca="false">IF(B534="","",ROW()-4)</f>
        <v/>
      </c>
      <c r="B534" s="45"/>
      <c r="C534" s="46"/>
      <c r="D534" s="46"/>
      <c r="E534" s="47"/>
      <c r="F534" s="44" t="str">
        <f aca="true">IF(OR(B534="",E534="",C534="Done",C534="Cancelled"),"",E534-TODAY())</f>
        <v/>
      </c>
      <c r="G534" s="48" t="str">
        <f aca="true">IF(OR(B534="",C534="Done",C534="Cancelled"),"",IF(AND(E534&lt;&gt;"",E534&lt;TODAY()),"OVERDUE",IF(AND(E534&lt;&gt;"",E534=TODAY()),"DUE TODAY",IF(AND(K534&lt;&gt;"",K534&lt;=TODAY()),"FOLLOW UP",IF(AND(E534&lt;&gt;"",E534&lt;=TODAY()+3),"DUE SOON",IF(E534="","NO DUE DATE",""))))))</f>
        <v/>
      </c>
      <c r="H534" s="45"/>
      <c r="I534" s="46"/>
      <c r="J534" s="45"/>
      <c r="K534" s="47"/>
      <c r="L534" s="47"/>
      <c r="M534" s="47"/>
      <c r="N534" s="45"/>
    </row>
    <row r="535" customFormat="false" ht="18" hidden="false" customHeight="true" outlineLevel="0" collapsed="false">
      <c r="A535" s="44" t="str">
        <f aca="false">IF(B535="","",ROW()-4)</f>
        <v/>
      </c>
      <c r="B535" s="45"/>
      <c r="C535" s="46"/>
      <c r="D535" s="46"/>
      <c r="E535" s="47"/>
      <c r="F535" s="44" t="str">
        <f aca="true">IF(OR(B535="",E535="",C535="Done",C535="Cancelled"),"",E535-TODAY())</f>
        <v/>
      </c>
      <c r="G535" s="48" t="str">
        <f aca="true">IF(OR(B535="",C535="Done",C535="Cancelled"),"",IF(AND(E535&lt;&gt;"",E535&lt;TODAY()),"OVERDUE",IF(AND(E535&lt;&gt;"",E535=TODAY()),"DUE TODAY",IF(AND(K535&lt;&gt;"",K535&lt;=TODAY()),"FOLLOW UP",IF(AND(E535&lt;&gt;"",E535&lt;=TODAY()+3),"DUE SOON",IF(E535="","NO DUE DATE",""))))))</f>
        <v/>
      </c>
      <c r="H535" s="45"/>
      <c r="I535" s="46"/>
      <c r="J535" s="45"/>
      <c r="K535" s="47"/>
      <c r="L535" s="47"/>
      <c r="M535" s="47"/>
      <c r="N535" s="45"/>
    </row>
    <row r="536" customFormat="false" ht="18" hidden="false" customHeight="true" outlineLevel="0" collapsed="false">
      <c r="A536" s="44" t="str">
        <f aca="false">IF(B536="","",ROW()-4)</f>
        <v/>
      </c>
      <c r="B536" s="45"/>
      <c r="C536" s="46"/>
      <c r="D536" s="46"/>
      <c r="E536" s="47"/>
      <c r="F536" s="44" t="str">
        <f aca="true">IF(OR(B536="",E536="",C536="Done",C536="Cancelled"),"",E536-TODAY())</f>
        <v/>
      </c>
      <c r="G536" s="48" t="str">
        <f aca="true">IF(OR(B536="",C536="Done",C536="Cancelled"),"",IF(AND(E536&lt;&gt;"",E536&lt;TODAY()),"OVERDUE",IF(AND(E536&lt;&gt;"",E536=TODAY()),"DUE TODAY",IF(AND(K536&lt;&gt;"",K536&lt;=TODAY()),"FOLLOW UP",IF(AND(E536&lt;&gt;"",E536&lt;=TODAY()+3),"DUE SOON",IF(E536="","NO DUE DATE",""))))))</f>
        <v/>
      </c>
      <c r="H536" s="45"/>
      <c r="I536" s="46"/>
      <c r="J536" s="45"/>
      <c r="K536" s="47"/>
      <c r="L536" s="47"/>
      <c r="M536" s="47"/>
      <c r="N536" s="45"/>
    </row>
    <row r="537" customFormat="false" ht="18" hidden="false" customHeight="true" outlineLevel="0" collapsed="false">
      <c r="A537" s="44" t="str">
        <f aca="false">IF(B537="","",ROW()-4)</f>
        <v/>
      </c>
      <c r="B537" s="45"/>
      <c r="C537" s="46"/>
      <c r="D537" s="46"/>
      <c r="E537" s="47"/>
      <c r="F537" s="44" t="str">
        <f aca="true">IF(OR(B537="",E537="",C537="Done",C537="Cancelled"),"",E537-TODAY())</f>
        <v/>
      </c>
      <c r="G537" s="48" t="str">
        <f aca="true">IF(OR(B537="",C537="Done",C537="Cancelled"),"",IF(AND(E537&lt;&gt;"",E537&lt;TODAY()),"OVERDUE",IF(AND(E537&lt;&gt;"",E537=TODAY()),"DUE TODAY",IF(AND(K537&lt;&gt;"",K537&lt;=TODAY()),"FOLLOW UP",IF(AND(E537&lt;&gt;"",E537&lt;=TODAY()+3),"DUE SOON",IF(E537="","NO DUE DATE",""))))))</f>
        <v/>
      </c>
      <c r="H537" s="45"/>
      <c r="I537" s="46"/>
      <c r="J537" s="45"/>
      <c r="K537" s="47"/>
      <c r="L537" s="47"/>
      <c r="M537" s="47"/>
      <c r="N537" s="45"/>
    </row>
    <row r="538" customFormat="false" ht="18" hidden="false" customHeight="true" outlineLevel="0" collapsed="false">
      <c r="A538" s="44" t="str">
        <f aca="false">IF(B538="","",ROW()-4)</f>
        <v/>
      </c>
      <c r="B538" s="45"/>
      <c r="C538" s="46"/>
      <c r="D538" s="46"/>
      <c r="E538" s="47"/>
      <c r="F538" s="44" t="str">
        <f aca="true">IF(OR(B538="",E538="",C538="Done",C538="Cancelled"),"",E538-TODAY())</f>
        <v/>
      </c>
      <c r="G538" s="48" t="str">
        <f aca="true">IF(OR(B538="",C538="Done",C538="Cancelled"),"",IF(AND(E538&lt;&gt;"",E538&lt;TODAY()),"OVERDUE",IF(AND(E538&lt;&gt;"",E538=TODAY()),"DUE TODAY",IF(AND(K538&lt;&gt;"",K538&lt;=TODAY()),"FOLLOW UP",IF(AND(E538&lt;&gt;"",E538&lt;=TODAY()+3),"DUE SOON",IF(E538="","NO DUE DATE",""))))))</f>
        <v/>
      </c>
      <c r="H538" s="45"/>
      <c r="I538" s="46"/>
      <c r="J538" s="45"/>
      <c r="K538" s="47"/>
      <c r="L538" s="47"/>
      <c r="M538" s="47"/>
      <c r="N538" s="45"/>
    </row>
    <row r="539" customFormat="false" ht="18" hidden="false" customHeight="true" outlineLevel="0" collapsed="false">
      <c r="A539" s="44" t="str">
        <f aca="false">IF(B539="","",ROW()-4)</f>
        <v/>
      </c>
      <c r="B539" s="45"/>
      <c r="C539" s="46"/>
      <c r="D539" s="46"/>
      <c r="E539" s="47"/>
      <c r="F539" s="44" t="str">
        <f aca="true">IF(OR(B539="",E539="",C539="Done",C539="Cancelled"),"",E539-TODAY())</f>
        <v/>
      </c>
      <c r="G539" s="48" t="str">
        <f aca="true">IF(OR(B539="",C539="Done",C539="Cancelled"),"",IF(AND(E539&lt;&gt;"",E539&lt;TODAY()),"OVERDUE",IF(AND(E539&lt;&gt;"",E539=TODAY()),"DUE TODAY",IF(AND(K539&lt;&gt;"",K539&lt;=TODAY()),"FOLLOW UP",IF(AND(E539&lt;&gt;"",E539&lt;=TODAY()+3),"DUE SOON",IF(E539="","NO DUE DATE",""))))))</f>
        <v/>
      </c>
      <c r="H539" s="45"/>
      <c r="I539" s="46"/>
      <c r="J539" s="45"/>
      <c r="K539" s="47"/>
      <c r="L539" s="47"/>
      <c r="M539" s="47"/>
      <c r="N539" s="45"/>
    </row>
    <row r="540" customFormat="false" ht="18" hidden="false" customHeight="true" outlineLevel="0" collapsed="false">
      <c r="A540" s="44" t="str">
        <f aca="false">IF(B540="","",ROW()-4)</f>
        <v/>
      </c>
      <c r="B540" s="45"/>
      <c r="C540" s="46"/>
      <c r="D540" s="46"/>
      <c r="E540" s="47"/>
      <c r="F540" s="44" t="str">
        <f aca="true">IF(OR(B540="",E540="",C540="Done",C540="Cancelled"),"",E540-TODAY())</f>
        <v/>
      </c>
      <c r="G540" s="48" t="str">
        <f aca="true">IF(OR(B540="",C540="Done",C540="Cancelled"),"",IF(AND(E540&lt;&gt;"",E540&lt;TODAY()),"OVERDUE",IF(AND(E540&lt;&gt;"",E540=TODAY()),"DUE TODAY",IF(AND(K540&lt;&gt;"",K540&lt;=TODAY()),"FOLLOW UP",IF(AND(E540&lt;&gt;"",E540&lt;=TODAY()+3),"DUE SOON",IF(E540="","NO DUE DATE",""))))))</f>
        <v/>
      </c>
      <c r="H540" s="45"/>
      <c r="I540" s="46"/>
      <c r="J540" s="45"/>
      <c r="K540" s="47"/>
      <c r="L540" s="47"/>
      <c r="M540" s="47"/>
      <c r="N540" s="45"/>
    </row>
    <row r="541" customFormat="false" ht="18" hidden="false" customHeight="true" outlineLevel="0" collapsed="false">
      <c r="A541" s="44" t="str">
        <f aca="false">IF(B541="","",ROW()-4)</f>
        <v/>
      </c>
      <c r="B541" s="45"/>
      <c r="C541" s="46"/>
      <c r="D541" s="46"/>
      <c r="E541" s="47"/>
      <c r="F541" s="44" t="str">
        <f aca="true">IF(OR(B541="",E541="",C541="Done",C541="Cancelled"),"",E541-TODAY())</f>
        <v/>
      </c>
      <c r="G541" s="48" t="str">
        <f aca="true">IF(OR(B541="",C541="Done",C541="Cancelled"),"",IF(AND(E541&lt;&gt;"",E541&lt;TODAY()),"OVERDUE",IF(AND(E541&lt;&gt;"",E541=TODAY()),"DUE TODAY",IF(AND(K541&lt;&gt;"",K541&lt;=TODAY()),"FOLLOW UP",IF(AND(E541&lt;&gt;"",E541&lt;=TODAY()+3),"DUE SOON",IF(E541="","NO DUE DATE",""))))))</f>
        <v/>
      </c>
      <c r="H541" s="45"/>
      <c r="I541" s="46"/>
      <c r="J541" s="45"/>
      <c r="K541" s="47"/>
      <c r="L541" s="47"/>
      <c r="M541" s="47"/>
      <c r="N541" s="45"/>
    </row>
    <row r="542" customFormat="false" ht="18" hidden="false" customHeight="true" outlineLevel="0" collapsed="false">
      <c r="A542" s="44" t="str">
        <f aca="false">IF(B542="","",ROW()-4)</f>
        <v/>
      </c>
      <c r="B542" s="45"/>
      <c r="C542" s="46"/>
      <c r="D542" s="46"/>
      <c r="E542" s="47"/>
      <c r="F542" s="44" t="str">
        <f aca="true">IF(OR(B542="",E542="",C542="Done",C542="Cancelled"),"",E542-TODAY())</f>
        <v/>
      </c>
      <c r="G542" s="48" t="str">
        <f aca="true">IF(OR(B542="",C542="Done",C542="Cancelled"),"",IF(AND(E542&lt;&gt;"",E542&lt;TODAY()),"OVERDUE",IF(AND(E542&lt;&gt;"",E542=TODAY()),"DUE TODAY",IF(AND(K542&lt;&gt;"",K542&lt;=TODAY()),"FOLLOW UP",IF(AND(E542&lt;&gt;"",E542&lt;=TODAY()+3),"DUE SOON",IF(E542="","NO DUE DATE",""))))))</f>
        <v/>
      </c>
      <c r="H542" s="45"/>
      <c r="I542" s="46"/>
      <c r="J542" s="45"/>
      <c r="K542" s="47"/>
      <c r="L542" s="47"/>
      <c r="M542" s="47"/>
      <c r="N542" s="45"/>
    </row>
    <row r="543" customFormat="false" ht="18" hidden="false" customHeight="true" outlineLevel="0" collapsed="false">
      <c r="A543" s="44" t="str">
        <f aca="false">IF(B543="","",ROW()-4)</f>
        <v/>
      </c>
      <c r="B543" s="45"/>
      <c r="C543" s="46"/>
      <c r="D543" s="46"/>
      <c r="E543" s="47"/>
      <c r="F543" s="44" t="str">
        <f aca="true">IF(OR(B543="",E543="",C543="Done",C543="Cancelled"),"",E543-TODAY())</f>
        <v/>
      </c>
      <c r="G543" s="48" t="str">
        <f aca="true">IF(OR(B543="",C543="Done",C543="Cancelled"),"",IF(AND(E543&lt;&gt;"",E543&lt;TODAY()),"OVERDUE",IF(AND(E543&lt;&gt;"",E543=TODAY()),"DUE TODAY",IF(AND(K543&lt;&gt;"",K543&lt;=TODAY()),"FOLLOW UP",IF(AND(E543&lt;&gt;"",E543&lt;=TODAY()+3),"DUE SOON",IF(E543="","NO DUE DATE",""))))))</f>
        <v/>
      </c>
      <c r="H543" s="45"/>
      <c r="I543" s="46"/>
      <c r="J543" s="45"/>
      <c r="K543" s="47"/>
      <c r="L543" s="47"/>
      <c r="M543" s="47"/>
      <c r="N543" s="45"/>
    </row>
    <row r="544" customFormat="false" ht="18" hidden="false" customHeight="true" outlineLevel="0" collapsed="false">
      <c r="A544" s="44" t="str">
        <f aca="false">IF(B544="","",ROW()-4)</f>
        <v/>
      </c>
      <c r="B544" s="45"/>
      <c r="C544" s="46"/>
      <c r="D544" s="46"/>
      <c r="E544" s="47"/>
      <c r="F544" s="44" t="str">
        <f aca="true">IF(OR(B544="",E544="",C544="Done",C544="Cancelled"),"",E544-TODAY())</f>
        <v/>
      </c>
      <c r="G544" s="48" t="str">
        <f aca="true">IF(OR(B544="",C544="Done",C544="Cancelled"),"",IF(AND(E544&lt;&gt;"",E544&lt;TODAY()),"OVERDUE",IF(AND(E544&lt;&gt;"",E544=TODAY()),"DUE TODAY",IF(AND(K544&lt;&gt;"",K544&lt;=TODAY()),"FOLLOW UP",IF(AND(E544&lt;&gt;"",E544&lt;=TODAY()+3),"DUE SOON",IF(E544="","NO DUE DATE",""))))))</f>
        <v/>
      </c>
      <c r="H544" s="45"/>
      <c r="I544" s="46"/>
      <c r="J544" s="45"/>
      <c r="K544" s="47"/>
      <c r="L544" s="47"/>
      <c r="M544" s="47"/>
      <c r="N544" s="45"/>
    </row>
    <row r="545" customFormat="false" ht="18" hidden="false" customHeight="true" outlineLevel="0" collapsed="false">
      <c r="A545" s="44" t="str">
        <f aca="false">IF(B545="","",ROW()-4)</f>
        <v/>
      </c>
      <c r="B545" s="45"/>
      <c r="C545" s="46"/>
      <c r="D545" s="46"/>
      <c r="E545" s="47"/>
      <c r="F545" s="44" t="str">
        <f aca="true">IF(OR(B545="",E545="",C545="Done",C545="Cancelled"),"",E545-TODAY())</f>
        <v/>
      </c>
      <c r="G545" s="48" t="str">
        <f aca="true">IF(OR(B545="",C545="Done",C545="Cancelled"),"",IF(AND(E545&lt;&gt;"",E545&lt;TODAY()),"OVERDUE",IF(AND(E545&lt;&gt;"",E545=TODAY()),"DUE TODAY",IF(AND(K545&lt;&gt;"",K545&lt;=TODAY()),"FOLLOW UP",IF(AND(E545&lt;&gt;"",E545&lt;=TODAY()+3),"DUE SOON",IF(E545="","NO DUE DATE",""))))))</f>
        <v/>
      </c>
      <c r="H545" s="45"/>
      <c r="I545" s="46"/>
      <c r="J545" s="45"/>
      <c r="K545" s="47"/>
      <c r="L545" s="47"/>
      <c r="M545" s="47"/>
      <c r="N545" s="45"/>
    </row>
    <row r="546" customFormat="false" ht="18" hidden="false" customHeight="true" outlineLevel="0" collapsed="false">
      <c r="A546" s="44" t="str">
        <f aca="false">IF(B546="","",ROW()-4)</f>
        <v/>
      </c>
      <c r="B546" s="45"/>
      <c r="C546" s="46"/>
      <c r="D546" s="46"/>
      <c r="E546" s="47"/>
      <c r="F546" s="44" t="str">
        <f aca="true">IF(OR(B546="",E546="",C546="Done",C546="Cancelled"),"",E546-TODAY())</f>
        <v/>
      </c>
      <c r="G546" s="48" t="str">
        <f aca="true">IF(OR(B546="",C546="Done",C546="Cancelled"),"",IF(AND(E546&lt;&gt;"",E546&lt;TODAY()),"OVERDUE",IF(AND(E546&lt;&gt;"",E546=TODAY()),"DUE TODAY",IF(AND(K546&lt;&gt;"",K546&lt;=TODAY()),"FOLLOW UP",IF(AND(E546&lt;&gt;"",E546&lt;=TODAY()+3),"DUE SOON",IF(E546="","NO DUE DATE",""))))))</f>
        <v/>
      </c>
      <c r="H546" s="45"/>
      <c r="I546" s="46"/>
      <c r="J546" s="45"/>
      <c r="K546" s="47"/>
      <c r="L546" s="47"/>
      <c r="M546" s="47"/>
      <c r="N546" s="45"/>
    </row>
    <row r="547" customFormat="false" ht="18" hidden="false" customHeight="true" outlineLevel="0" collapsed="false">
      <c r="A547" s="44" t="str">
        <f aca="false">IF(B547="","",ROW()-4)</f>
        <v/>
      </c>
      <c r="B547" s="45"/>
      <c r="C547" s="46"/>
      <c r="D547" s="46"/>
      <c r="E547" s="47"/>
      <c r="F547" s="44" t="str">
        <f aca="true">IF(OR(B547="",E547="",C547="Done",C547="Cancelled"),"",E547-TODAY())</f>
        <v/>
      </c>
      <c r="G547" s="48" t="str">
        <f aca="true">IF(OR(B547="",C547="Done",C547="Cancelled"),"",IF(AND(E547&lt;&gt;"",E547&lt;TODAY()),"OVERDUE",IF(AND(E547&lt;&gt;"",E547=TODAY()),"DUE TODAY",IF(AND(K547&lt;&gt;"",K547&lt;=TODAY()),"FOLLOW UP",IF(AND(E547&lt;&gt;"",E547&lt;=TODAY()+3),"DUE SOON",IF(E547="","NO DUE DATE",""))))))</f>
        <v/>
      </c>
      <c r="H547" s="45"/>
      <c r="I547" s="46"/>
      <c r="J547" s="45"/>
      <c r="K547" s="47"/>
      <c r="L547" s="47"/>
      <c r="M547" s="47"/>
      <c r="N547" s="45"/>
    </row>
    <row r="548" customFormat="false" ht="18" hidden="false" customHeight="true" outlineLevel="0" collapsed="false">
      <c r="A548" s="44" t="str">
        <f aca="false">IF(B548="","",ROW()-4)</f>
        <v/>
      </c>
      <c r="B548" s="45"/>
      <c r="C548" s="46"/>
      <c r="D548" s="46"/>
      <c r="E548" s="47"/>
      <c r="F548" s="44" t="str">
        <f aca="true">IF(OR(B548="",E548="",C548="Done",C548="Cancelled"),"",E548-TODAY())</f>
        <v/>
      </c>
      <c r="G548" s="48" t="str">
        <f aca="true">IF(OR(B548="",C548="Done",C548="Cancelled"),"",IF(AND(E548&lt;&gt;"",E548&lt;TODAY()),"OVERDUE",IF(AND(E548&lt;&gt;"",E548=TODAY()),"DUE TODAY",IF(AND(K548&lt;&gt;"",K548&lt;=TODAY()),"FOLLOW UP",IF(AND(E548&lt;&gt;"",E548&lt;=TODAY()+3),"DUE SOON",IF(E548="","NO DUE DATE",""))))))</f>
        <v/>
      </c>
      <c r="H548" s="45"/>
      <c r="I548" s="46"/>
      <c r="J548" s="45"/>
      <c r="K548" s="47"/>
      <c r="L548" s="47"/>
      <c r="M548" s="47"/>
      <c r="N548" s="45"/>
    </row>
    <row r="549" customFormat="false" ht="18" hidden="false" customHeight="true" outlineLevel="0" collapsed="false">
      <c r="A549" s="44" t="str">
        <f aca="false">IF(B549="","",ROW()-4)</f>
        <v/>
      </c>
      <c r="B549" s="45"/>
      <c r="C549" s="46"/>
      <c r="D549" s="46"/>
      <c r="E549" s="47"/>
      <c r="F549" s="44" t="str">
        <f aca="true">IF(OR(B549="",E549="",C549="Done",C549="Cancelled"),"",E549-TODAY())</f>
        <v/>
      </c>
      <c r="G549" s="48" t="str">
        <f aca="true">IF(OR(B549="",C549="Done",C549="Cancelled"),"",IF(AND(E549&lt;&gt;"",E549&lt;TODAY()),"OVERDUE",IF(AND(E549&lt;&gt;"",E549=TODAY()),"DUE TODAY",IF(AND(K549&lt;&gt;"",K549&lt;=TODAY()),"FOLLOW UP",IF(AND(E549&lt;&gt;"",E549&lt;=TODAY()+3),"DUE SOON",IF(E549="","NO DUE DATE",""))))))</f>
        <v/>
      </c>
      <c r="H549" s="45"/>
      <c r="I549" s="46"/>
      <c r="J549" s="45"/>
      <c r="K549" s="47"/>
      <c r="L549" s="47"/>
      <c r="M549" s="47"/>
      <c r="N549" s="45"/>
    </row>
    <row r="550" customFormat="false" ht="18" hidden="false" customHeight="true" outlineLevel="0" collapsed="false">
      <c r="A550" s="44" t="str">
        <f aca="false">IF(B550="","",ROW()-4)</f>
        <v/>
      </c>
      <c r="B550" s="45"/>
      <c r="C550" s="46"/>
      <c r="D550" s="46"/>
      <c r="E550" s="47"/>
      <c r="F550" s="44" t="str">
        <f aca="true">IF(OR(B550="",E550="",C550="Done",C550="Cancelled"),"",E550-TODAY())</f>
        <v/>
      </c>
      <c r="G550" s="48" t="str">
        <f aca="true">IF(OR(B550="",C550="Done",C550="Cancelled"),"",IF(AND(E550&lt;&gt;"",E550&lt;TODAY()),"OVERDUE",IF(AND(E550&lt;&gt;"",E550=TODAY()),"DUE TODAY",IF(AND(K550&lt;&gt;"",K550&lt;=TODAY()),"FOLLOW UP",IF(AND(E550&lt;&gt;"",E550&lt;=TODAY()+3),"DUE SOON",IF(E550="","NO DUE DATE",""))))))</f>
        <v/>
      </c>
      <c r="H550" s="45"/>
      <c r="I550" s="46"/>
      <c r="J550" s="45"/>
      <c r="K550" s="47"/>
      <c r="L550" s="47"/>
      <c r="M550" s="47"/>
      <c r="N550" s="45"/>
    </row>
    <row r="551" customFormat="false" ht="18" hidden="false" customHeight="true" outlineLevel="0" collapsed="false">
      <c r="A551" s="44" t="str">
        <f aca="false">IF(B551="","",ROW()-4)</f>
        <v/>
      </c>
      <c r="B551" s="45"/>
      <c r="C551" s="46"/>
      <c r="D551" s="46"/>
      <c r="E551" s="47"/>
      <c r="F551" s="44" t="str">
        <f aca="true">IF(OR(B551="",E551="",C551="Done",C551="Cancelled"),"",E551-TODAY())</f>
        <v/>
      </c>
      <c r="G551" s="48" t="str">
        <f aca="true">IF(OR(B551="",C551="Done",C551="Cancelled"),"",IF(AND(E551&lt;&gt;"",E551&lt;TODAY()),"OVERDUE",IF(AND(E551&lt;&gt;"",E551=TODAY()),"DUE TODAY",IF(AND(K551&lt;&gt;"",K551&lt;=TODAY()),"FOLLOW UP",IF(AND(E551&lt;&gt;"",E551&lt;=TODAY()+3),"DUE SOON",IF(E551="","NO DUE DATE",""))))))</f>
        <v/>
      </c>
      <c r="H551" s="45"/>
      <c r="I551" s="46"/>
      <c r="J551" s="45"/>
      <c r="K551" s="47"/>
      <c r="L551" s="47"/>
      <c r="M551" s="47"/>
      <c r="N551" s="45"/>
    </row>
    <row r="552" customFormat="false" ht="18" hidden="false" customHeight="true" outlineLevel="0" collapsed="false">
      <c r="A552" s="44" t="str">
        <f aca="false">IF(B552="","",ROW()-4)</f>
        <v/>
      </c>
      <c r="B552" s="45"/>
      <c r="C552" s="46"/>
      <c r="D552" s="46"/>
      <c r="E552" s="47"/>
      <c r="F552" s="44" t="str">
        <f aca="true">IF(OR(B552="",E552="",C552="Done",C552="Cancelled"),"",E552-TODAY())</f>
        <v/>
      </c>
      <c r="G552" s="48" t="str">
        <f aca="true">IF(OR(B552="",C552="Done",C552="Cancelled"),"",IF(AND(E552&lt;&gt;"",E552&lt;TODAY()),"OVERDUE",IF(AND(E552&lt;&gt;"",E552=TODAY()),"DUE TODAY",IF(AND(K552&lt;&gt;"",K552&lt;=TODAY()),"FOLLOW UP",IF(AND(E552&lt;&gt;"",E552&lt;=TODAY()+3),"DUE SOON",IF(E552="","NO DUE DATE",""))))))</f>
        <v/>
      </c>
      <c r="H552" s="45"/>
      <c r="I552" s="46"/>
      <c r="J552" s="45"/>
      <c r="K552" s="47"/>
      <c r="L552" s="47"/>
      <c r="M552" s="47"/>
      <c r="N552" s="45"/>
    </row>
    <row r="553" customFormat="false" ht="18" hidden="false" customHeight="true" outlineLevel="0" collapsed="false">
      <c r="A553" s="44" t="str">
        <f aca="false">IF(B553="","",ROW()-4)</f>
        <v/>
      </c>
      <c r="B553" s="45"/>
      <c r="C553" s="46"/>
      <c r="D553" s="46"/>
      <c r="E553" s="47"/>
      <c r="F553" s="44" t="str">
        <f aca="true">IF(OR(B553="",E553="",C553="Done",C553="Cancelled"),"",E553-TODAY())</f>
        <v/>
      </c>
      <c r="G553" s="48" t="str">
        <f aca="true">IF(OR(B553="",C553="Done",C553="Cancelled"),"",IF(AND(E553&lt;&gt;"",E553&lt;TODAY()),"OVERDUE",IF(AND(E553&lt;&gt;"",E553=TODAY()),"DUE TODAY",IF(AND(K553&lt;&gt;"",K553&lt;=TODAY()),"FOLLOW UP",IF(AND(E553&lt;&gt;"",E553&lt;=TODAY()+3),"DUE SOON",IF(E553="","NO DUE DATE",""))))))</f>
        <v/>
      </c>
      <c r="H553" s="45"/>
      <c r="I553" s="46"/>
      <c r="J553" s="45"/>
      <c r="K553" s="47"/>
      <c r="L553" s="47"/>
      <c r="M553" s="47"/>
      <c r="N553" s="45"/>
    </row>
    <row r="554" customFormat="false" ht="18" hidden="false" customHeight="true" outlineLevel="0" collapsed="false">
      <c r="A554" s="44" t="str">
        <f aca="false">IF(B554="","",ROW()-4)</f>
        <v/>
      </c>
      <c r="B554" s="45"/>
      <c r="C554" s="46"/>
      <c r="D554" s="46"/>
      <c r="E554" s="47"/>
      <c r="F554" s="44" t="str">
        <f aca="true">IF(OR(B554="",E554="",C554="Done",C554="Cancelled"),"",E554-TODAY())</f>
        <v/>
      </c>
      <c r="G554" s="48" t="str">
        <f aca="true">IF(OR(B554="",C554="Done",C554="Cancelled"),"",IF(AND(E554&lt;&gt;"",E554&lt;TODAY()),"OVERDUE",IF(AND(E554&lt;&gt;"",E554=TODAY()),"DUE TODAY",IF(AND(K554&lt;&gt;"",K554&lt;=TODAY()),"FOLLOW UP",IF(AND(E554&lt;&gt;"",E554&lt;=TODAY()+3),"DUE SOON",IF(E554="","NO DUE DATE",""))))))</f>
        <v/>
      </c>
      <c r="H554" s="45"/>
      <c r="I554" s="46"/>
      <c r="J554" s="45"/>
      <c r="K554" s="47"/>
      <c r="L554" s="47"/>
      <c r="M554" s="47"/>
      <c r="N554" s="45"/>
    </row>
    <row r="555" customFormat="false" ht="18" hidden="false" customHeight="true" outlineLevel="0" collapsed="false">
      <c r="A555" s="44" t="str">
        <f aca="false">IF(B555="","",ROW()-4)</f>
        <v/>
      </c>
      <c r="B555" s="45"/>
      <c r="C555" s="46"/>
      <c r="D555" s="46"/>
      <c r="E555" s="47"/>
      <c r="F555" s="44" t="str">
        <f aca="true">IF(OR(B555="",E555="",C555="Done",C555="Cancelled"),"",E555-TODAY())</f>
        <v/>
      </c>
      <c r="G555" s="48" t="str">
        <f aca="true">IF(OR(B555="",C555="Done",C555="Cancelled"),"",IF(AND(E555&lt;&gt;"",E555&lt;TODAY()),"OVERDUE",IF(AND(E555&lt;&gt;"",E555=TODAY()),"DUE TODAY",IF(AND(K555&lt;&gt;"",K555&lt;=TODAY()),"FOLLOW UP",IF(AND(E555&lt;&gt;"",E555&lt;=TODAY()+3),"DUE SOON",IF(E555="","NO DUE DATE",""))))))</f>
        <v/>
      </c>
      <c r="H555" s="45"/>
      <c r="I555" s="46"/>
      <c r="J555" s="45"/>
      <c r="K555" s="47"/>
      <c r="L555" s="47"/>
      <c r="M555" s="47"/>
      <c r="N555" s="45"/>
    </row>
    <row r="556" customFormat="false" ht="18" hidden="false" customHeight="true" outlineLevel="0" collapsed="false">
      <c r="A556" s="44" t="str">
        <f aca="false">IF(B556="","",ROW()-4)</f>
        <v/>
      </c>
      <c r="B556" s="45"/>
      <c r="C556" s="46"/>
      <c r="D556" s="46"/>
      <c r="E556" s="47"/>
      <c r="F556" s="44" t="str">
        <f aca="true">IF(OR(B556="",E556="",C556="Done",C556="Cancelled"),"",E556-TODAY())</f>
        <v/>
      </c>
      <c r="G556" s="48" t="str">
        <f aca="true">IF(OR(B556="",C556="Done",C556="Cancelled"),"",IF(AND(E556&lt;&gt;"",E556&lt;TODAY()),"OVERDUE",IF(AND(E556&lt;&gt;"",E556=TODAY()),"DUE TODAY",IF(AND(K556&lt;&gt;"",K556&lt;=TODAY()),"FOLLOW UP",IF(AND(E556&lt;&gt;"",E556&lt;=TODAY()+3),"DUE SOON",IF(E556="","NO DUE DATE",""))))))</f>
        <v/>
      </c>
      <c r="H556" s="45"/>
      <c r="I556" s="46"/>
      <c r="J556" s="45"/>
      <c r="K556" s="47"/>
      <c r="L556" s="47"/>
      <c r="M556" s="47"/>
      <c r="N556" s="45"/>
    </row>
    <row r="557" customFormat="false" ht="18" hidden="false" customHeight="true" outlineLevel="0" collapsed="false">
      <c r="A557" s="44" t="str">
        <f aca="false">IF(B557="","",ROW()-4)</f>
        <v/>
      </c>
      <c r="B557" s="45"/>
      <c r="C557" s="46"/>
      <c r="D557" s="46"/>
      <c r="E557" s="47"/>
      <c r="F557" s="44" t="str">
        <f aca="true">IF(OR(B557="",E557="",C557="Done",C557="Cancelled"),"",E557-TODAY())</f>
        <v/>
      </c>
      <c r="G557" s="48" t="str">
        <f aca="true">IF(OR(B557="",C557="Done",C557="Cancelled"),"",IF(AND(E557&lt;&gt;"",E557&lt;TODAY()),"OVERDUE",IF(AND(E557&lt;&gt;"",E557=TODAY()),"DUE TODAY",IF(AND(K557&lt;&gt;"",K557&lt;=TODAY()),"FOLLOW UP",IF(AND(E557&lt;&gt;"",E557&lt;=TODAY()+3),"DUE SOON",IF(E557="","NO DUE DATE",""))))))</f>
        <v/>
      </c>
      <c r="H557" s="45"/>
      <c r="I557" s="46"/>
      <c r="J557" s="45"/>
      <c r="K557" s="47"/>
      <c r="L557" s="47"/>
      <c r="M557" s="47"/>
      <c r="N557" s="45"/>
    </row>
    <row r="558" customFormat="false" ht="18" hidden="false" customHeight="true" outlineLevel="0" collapsed="false">
      <c r="A558" s="44" t="str">
        <f aca="false">IF(B558="","",ROW()-4)</f>
        <v/>
      </c>
      <c r="B558" s="45"/>
      <c r="C558" s="46"/>
      <c r="D558" s="46"/>
      <c r="E558" s="47"/>
      <c r="F558" s="44" t="str">
        <f aca="true">IF(OR(B558="",E558="",C558="Done",C558="Cancelled"),"",E558-TODAY())</f>
        <v/>
      </c>
      <c r="G558" s="48" t="str">
        <f aca="true">IF(OR(B558="",C558="Done",C558="Cancelled"),"",IF(AND(E558&lt;&gt;"",E558&lt;TODAY()),"OVERDUE",IF(AND(E558&lt;&gt;"",E558=TODAY()),"DUE TODAY",IF(AND(K558&lt;&gt;"",K558&lt;=TODAY()),"FOLLOW UP",IF(AND(E558&lt;&gt;"",E558&lt;=TODAY()+3),"DUE SOON",IF(E558="","NO DUE DATE",""))))))</f>
        <v/>
      </c>
      <c r="H558" s="45"/>
      <c r="I558" s="46"/>
      <c r="J558" s="45"/>
      <c r="K558" s="47"/>
      <c r="L558" s="47"/>
      <c r="M558" s="47"/>
      <c r="N558" s="45"/>
    </row>
    <row r="559" customFormat="false" ht="18" hidden="false" customHeight="true" outlineLevel="0" collapsed="false">
      <c r="A559" s="44" t="str">
        <f aca="false">IF(B559="","",ROW()-4)</f>
        <v/>
      </c>
      <c r="B559" s="45"/>
      <c r="C559" s="46"/>
      <c r="D559" s="46"/>
      <c r="E559" s="47"/>
      <c r="F559" s="44" t="str">
        <f aca="true">IF(OR(B559="",E559="",C559="Done",C559="Cancelled"),"",E559-TODAY())</f>
        <v/>
      </c>
      <c r="G559" s="48" t="str">
        <f aca="true">IF(OR(B559="",C559="Done",C559="Cancelled"),"",IF(AND(E559&lt;&gt;"",E559&lt;TODAY()),"OVERDUE",IF(AND(E559&lt;&gt;"",E559=TODAY()),"DUE TODAY",IF(AND(K559&lt;&gt;"",K559&lt;=TODAY()),"FOLLOW UP",IF(AND(E559&lt;&gt;"",E559&lt;=TODAY()+3),"DUE SOON",IF(E559="","NO DUE DATE",""))))))</f>
        <v/>
      </c>
      <c r="H559" s="45"/>
      <c r="I559" s="46"/>
      <c r="J559" s="45"/>
      <c r="K559" s="47"/>
      <c r="L559" s="47"/>
      <c r="M559" s="47"/>
      <c r="N559" s="45"/>
    </row>
    <row r="560" customFormat="false" ht="18" hidden="false" customHeight="true" outlineLevel="0" collapsed="false">
      <c r="A560" s="44" t="str">
        <f aca="false">IF(B560="","",ROW()-4)</f>
        <v/>
      </c>
      <c r="B560" s="45"/>
      <c r="C560" s="46"/>
      <c r="D560" s="46"/>
      <c r="E560" s="47"/>
      <c r="F560" s="44" t="str">
        <f aca="true">IF(OR(B560="",E560="",C560="Done",C560="Cancelled"),"",E560-TODAY())</f>
        <v/>
      </c>
      <c r="G560" s="48" t="str">
        <f aca="true">IF(OR(B560="",C560="Done",C560="Cancelled"),"",IF(AND(E560&lt;&gt;"",E560&lt;TODAY()),"OVERDUE",IF(AND(E560&lt;&gt;"",E560=TODAY()),"DUE TODAY",IF(AND(K560&lt;&gt;"",K560&lt;=TODAY()),"FOLLOW UP",IF(AND(E560&lt;&gt;"",E560&lt;=TODAY()+3),"DUE SOON",IF(E560="","NO DUE DATE",""))))))</f>
        <v/>
      </c>
      <c r="H560" s="45"/>
      <c r="I560" s="46"/>
      <c r="J560" s="45"/>
      <c r="K560" s="47"/>
      <c r="L560" s="47"/>
      <c r="M560" s="47"/>
      <c r="N560" s="45"/>
    </row>
    <row r="561" customFormat="false" ht="18" hidden="false" customHeight="true" outlineLevel="0" collapsed="false">
      <c r="A561" s="44" t="str">
        <f aca="false">IF(B561="","",ROW()-4)</f>
        <v/>
      </c>
      <c r="B561" s="45"/>
      <c r="C561" s="46"/>
      <c r="D561" s="46"/>
      <c r="E561" s="47"/>
      <c r="F561" s="44" t="str">
        <f aca="true">IF(OR(B561="",E561="",C561="Done",C561="Cancelled"),"",E561-TODAY())</f>
        <v/>
      </c>
      <c r="G561" s="48" t="str">
        <f aca="true">IF(OR(B561="",C561="Done",C561="Cancelled"),"",IF(AND(E561&lt;&gt;"",E561&lt;TODAY()),"OVERDUE",IF(AND(E561&lt;&gt;"",E561=TODAY()),"DUE TODAY",IF(AND(K561&lt;&gt;"",K561&lt;=TODAY()),"FOLLOW UP",IF(AND(E561&lt;&gt;"",E561&lt;=TODAY()+3),"DUE SOON",IF(E561="","NO DUE DATE",""))))))</f>
        <v/>
      </c>
      <c r="H561" s="45"/>
      <c r="I561" s="46"/>
      <c r="J561" s="45"/>
      <c r="K561" s="47"/>
      <c r="L561" s="47"/>
      <c r="M561" s="47"/>
      <c r="N561" s="45"/>
    </row>
    <row r="562" customFormat="false" ht="18" hidden="false" customHeight="true" outlineLevel="0" collapsed="false">
      <c r="A562" s="44" t="str">
        <f aca="false">IF(B562="","",ROW()-4)</f>
        <v/>
      </c>
      <c r="B562" s="45"/>
      <c r="C562" s="46"/>
      <c r="D562" s="46"/>
      <c r="E562" s="47"/>
      <c r="F562" s="44" t="str">
        <f aca="true">IF(OR(B562="",E562="",C562="Done",C562="Cancelled"),"",E562-TODAY())</f>
        <v/>
      </c>
      <c r="G562" s="48" t="str">
        <f aca="true">IF(OR(B562="",C562="Done",C562="Cancelled"),"",IF(AND(E562&lt;&gt;"",E562&lt;TODAY()),"OVERDUE",IF(AND(E562&lt;&gt;"",E562=TODAY()),"DUE TODAY",IF(AND(K562&lt;&gt;"",K562&lt;=TODAY()),"FOLLOW UP",IF(AND(E562&lt;&gt;"",E562&lt;=TODAY()+3),"DUE SOON",IF(E562="","NO DUE DATE",""))))))</f>
        <v/>
      </c>
      <c r="H562" s="45"/>
      <c r="I562" s="46"/>
      <c r="J562" s="45"/>
      <c r="K562" s="47"/>
      <c r="L562" s="47"/>
      <c r="M562" s="47"/>
      <c r="N562" s="45"/>
    </row>
    <row r="563" customFormat="false" ht="18" hidden="false" customHeight="true" outlineLevel="0" collapsed="false">
      <c r="A563" s="44" t="str">
        <f aca="false">IF(B563="","",ROW()-4)</f>
        <v/>
      </c>
      <c r="B563" s="45"/>
      <c r="C563" s="46"/>
      <c r="D563" s="46"/>
      <c r="E563" s="47"/>
      <c r="F563" s="44" t="str">
        <f aca="true">IF(OR(B563="",E563="",C563="Done",C563="Cancelled"),"",E563-TODAY())</f>
        <v/>
      </c>
      <c r="G563" s="48" t="str">
        <f aca="true">IF(OR(B563="",C563="Done",C563="Cancelled"),"",IF(AND(E563&lt;&gt;"",E563&lt;TODAY()),"OVERDUE",IF(AND(E563&lt;&gt;"",E563=TODAY()),"DUE TODAY",IF(AND(K563&lt;&gt;"",K563&lt;=TODAY()),"FOLLOW UP",IF(AND(E563&lt;&gt;"",E563&lt;=TODAY()+3),"DUE SOON",IF(E563="","NO DUE DATE",""))))))</f>
        <v/>
      </c>
      <c r="H563" s="45"/>
      <c r="I563" s="46"/>
      <c r="J563" s="45"/>
      <c r="K563" s="47"/>
      <c r="L563" s="47"/>
      <c r="M563" s="47"/>
      <c r="N563" s="45"/>
    </row>
    <row r="564" customFormat="false" ht="18" hidden="false" customHeight="true" outlineLevel="0" collapsed="false">
      <c r="A564" s="44" t="str">
        <f aca="false">IF(B564="","",ROW()-4)</f>
        <v/>
      </c>
      <c r="B564" s="45"/>
      <c r="C564" s="46"/>
      <c r="D564" s="46"/>
      <c r="E564" s="47"/>
      <c r="F564" s="44" t="str">
        <f aca="true">IF(OR(B564="",E564="",C564="Done",C564="Cancelled"),"",E564-TODAY())</f>
        <v/>
      </c>
      <c r="G564" s="48" t="str">
        <f aca="true">IF(OR(B564="",C564="Done",C564="Cancelled"),"",IF(AND(E564&lt;&gt;"",E564&lt;TODAY()),"OVERDUE",IF(AND(E564&lt;&gt;"",E564=TODAY()),"DUE TODAY",IF(AND(K564&lt;&gt;"",K564&lt;=TODAY()),"FOLLOW UP",IF(AND(E564&lt;&gt;"",E564&lt;=TODAY()+3),"DUE SOON",IF(E564="","NO DUE DATE",""))))))</f>
        <v/>
      </c>
      <c r="H564" s="45"/>
      <c r="I564" s="46"/>
      <c r="J564" s="45"/>
      <c r="K564" s="47"/>
      <c r="L564" s="47"/>
      <c r="M564" s="47"/>
      <c r="N564" s="45"/>
    </row>
    <row r="565" customFormat="false" ht="18" hidden="false" customHeight="true" outlineLevel="0" collapsed="false">
      <c r="A565" s="44" t="str">
        <f aca="false">IF(B565="","",ROW()-4)</f>
        <v/>
      </c>
      <c r="B565" s="45"/>
      <c r="C565" s="46"/>
      <c r="D565" s="46"/>
      <c r="E565" s="47"/>
      <c r="F565" s="44" t="str">
        <f aca="true">IF(OR(B565="",E565="",C565="Done",C565="Cancelled"),"",E565-TODAY())</f>
        <v/>
      </c>
      <c r="G565" s="48" t="str">
        <f aca="true">IF(OR(B565="",C565="Done",C565="Cancelled"),"",IF(AND(E565&lt;&gt;"",E565&lt;TODAY()),"OVERDUE",IF(AND(E565&lt;&gt;"",E565=TODAY()),"DUE TODAY",IF(AND(K565&lt;&gt;"",K565&lt;=TODAY()),"FOLLOW UP",IF(AND(E565&lt;&gt;"",E565&lt;=TODAY()+3),"DUE SOON",IF(E565="","NO DUE DATE",""))))))</f>
        <v/>
      </c>
      <c r="H565" s="45"/>
      <c r="I565" s="46"/>
      <c r="J565" s="45"/>
      <c r="K565" s="47"/>
      <c r="L565" s="47"/>
      <c r="M565" s="47"/>
      <c r="N565" s="45"/>
    </row>
    <row r="566" customFormat="false" ht="18" hidden="false" customHeight="true" outlineLevel="0" collapsed="false">
      <c r="A566" s="44" t="str">
        <f aca="false">IF(B566="","",ROW()-4)</f>
        <v/>
      </c>
      <c r="B566" s="45"/>
      <c r="C566" s="46"/>
      <c r="D566" s="46"/>
      <c r="E566" s="47"/>
      <c r="F566" s="44" t="str">
        <f aca="true">IF(OR(B566="",E566="",C566="Done",C566="Cancelled"),"",E566-TODAY())</f>
        <v/>
      </c>
      <c r="G566" s="48" t="str">
        <f aca="true">IF(OR(B566="",C566="Done",C566="Cancelled"),"",IF(AND(E566&lt;&gt;"",E566&lt;TODAY()),"OVERDUE",IF(AND(E566&lt;&gt;"",E566=TODAY()),"DUE TODAY",IF(AND(K566&lt;&gt;"",K566&lt;=TODAY()),"FOLLOW UP",IF(AND(E566&lt;&gt;"",E566&lt;=TODAY()+3),"DUE SOON",IF(E566="","NO DUE DATE",""))))))</f>
        <v/>
      </c>
      <c r="H566" s="45"/>
      <c r="I566" s="46"/>
      <c r="J566" s="45"/>
      <c r="K566" s="47"/>
      <c r="L566" s="47"/>
      <c r="M566" s="47"/>
      <c r="N566" s="45"/>
    </row>
    <row r="567" customFormat="false" ht="18" hidden="false" customHeight="true" outlineLevel="0" collapsed="false">
      <c r="A567" s="44" t="str">
        <f aca="false">IF(B567="","",ROW()-4)</f>
        <v/>
      </c>
      <c r="B567" s="45"/>
      <c r="C567" s="46"/>
      <c r="D567" s="46"/>
      <c r="E567" s="47"/>
      <c r="F567" s="44" t="str">
        <f aca="true">IF(OR(B567="",E567="",C567="Done",C567="Cancelled"),"",E567-TODAY())</f>
        <v/>
      </c>
      <c r="G567" s="48" t="str">
        <f aca="true">IF(OR(B567="",C567="Done",C567="Cancelled"),"",IF(AND(E567&lt;&gt;"",E567&lt;TODAY()),"OVERDUE",IF(AND(E567&lt;&gt;"",E567=TODAY()),"DUE TODAY",IF(AND(K567&lt;&gt;"",K567&lt;=TODAY()),"FOLLOW UP",IF(AND(E567&lt;&gt;"",E567&lt;=TODAY()+3),"DUE SOON",IF(E567="","NO DUE DATE",""))))))</f>
        <v/>
      </c>
      <c r="H567" s="45"/>
      <c r="I567" s="46"/>
      <c r="J567" s="45"/>
      <c r="K567" s="47"/>
      <c r="L567" s="47"/>
      <c r="M567" s="47"/>
      <c r="N567" s="45"/>
    </row>
    <row r="568" customFormat="false" ht="18" hidden="false" customHeight="true" outlineLevel="0" collapsed="false">
      <c r="A568" s="44" t="str">
        <f aca="false">IF(B568="","",ROW()-4)</f>
        <v/>
      </c>
      <c r="B568" s="45"/>
      <c r="C568" s="46"/>
      <c r="D568" s="46"/>
      <c r="E568" s="47"/>
      <c r="F568" s="44" t="str">
        <f aca="true">IF(OR(B568="",E568="",C568="Done",C568="Cancelled"),"",E568-TODAY())</f>
        <v/>
      </c>
      <c r="G568" s="48" t="str">
        <f aca="true">IF(OR(B568="",C568="Done",C568="Cancelled"),"",IF(AND(E568&lt;&gt;"",E568&lt;TODAY()),"OVERDUE",IF(AND(E568&lt;&gt;"",E568=TODAY()),"DUE TODAY",IF(AND(K568&lt;&gt;"",K568&lt;=TODAY()),"FOLLOW UP",IF(AND(E568&lt;&gt;"",E568&lt;=TODAY()+3),"DUE SOON",IF(E568="","NO DUE DATE",""))))))</f>
        <v/>
      </c>
      <c r="H568" s="45"/>
      <c r="I568" s="46"/>
      <c r="J568" s="45"/>
      <c r="K568" s="47"/>
      <c r="L568" s="47"/>
      <c r="M568" s="47"/>
      <c r="N568" s="45"/>
    </row>
    <row r="569" customFormat="false" ht="18" hidden="false" customHeight="true" outlineLevel="0" collapsed="false">
      <c r="A569" s="44" t="str">
        <f aca="false">IF(B569="","",ROW()-4)</f>
        <v/>
      </c>
      <c r="B569" s="45"/>
      <c r="C569" s="46"/>
      <c r="D569" s="46"/>
      <c r="E569" s="47"/>
      <c r="F569" s="44" t="str">
        <f aca="true">IF(OR(B569="",E569="",C569="Done",C569="Cancelled"),"",E569-TODAY())</f>
        <v/>
      </c>
      <c r="G569" s="48" t="str">
        <f aca="true">IF(OR(B569="",C569="Done",C569="Cancelled"),"",IF(AND(E569&lt;&gt;"",E569&lt;TODAY()),"OVERDUE",IF(AND(E569&lt;&gt;"",E569=TODAY()),"DUE TODAY",IF(AND(K569&lt;&gt;"",K569&lt;=TODAY()),"FOLLOW UP",IF(AND(E569&lt;&gt;"",E569&lt;=TODAY()+3),"DUE SOON",IF(E569="","NO DUE DATE",""))))))</f>
        <v/>
      </c>
      <c r="H569" s="45"/>
      <c r="I569" s="46"/>
      <c r="J569" s="45"/>
      <c r="K569" s="47"/>
      <c r="L569" s="47"/>
      <c r="M569" s="47"/>
      <c r="N569" s="45"/>
    </row>
    <row r="570" customFormat="false" ht="18" hidden="false" customHeight="true" outlineLevel="0" collapsed="false">
      <c r="A570" s="44" t="str">
        <f aca="false">IF(B570="","",ROW()-4)</f>
        <v/>
      </c>
      <c r="B570" s="45"/>
      <c r="C570" s="46"/>
      <c r="D570" s="46"/>
      <c r="E570" s="47"/>
      <c r="F570" s="44" t="str">
        <f aca="true">IF(OR(B570="",E570="",C570="Done",C570="Cancelled"),"",E570-TODAY())</f>
        <v/>
      </c>
      <c r="G570" s="48" t="str">
        <f aca="true">IF(OR(B570="",C570="Done",C570="Cancelled"),"",IF(AND(E570&lt;&gt;"",E570&lt;TODAY()),"OVERDUE",IF(AND(E570&lt;&gt;"",E570=TODAY()),"DUE TODAY",IF(AND(K570&lt;&gt;"",K570&lt;=TODAY()),"FOLLOW UP",IF(AND(E570&lt;&gt;"",E570&lt;=TODAY()+3),"DUE SOON",IF(E570="","NO DUE DATE",""))))))</f>
        <v/>
      </c>
      <c r="H570" s="45"/>
      <c r="I570" s="46"/>
      <c r="J570" s="45"/>
      <c r="K570" s="47"/>
      <c r="L570" s="47"/>
      <c r="M570" s="47"/>
      <c r="N570" s="45"/>
    </row>
    <row r="571" customFormat="false" ht="18" hidden="false" customHeight="true" outlineLevel="0" collapsed="false">
      <c r="A571" s="44" t="str">
        <f aca="false">IF(B571="","",ROW()-4)</f>
        <v/>
      </c>
      <c r="B571" s="45"/>
      <c r="C571" s="46"/>
      <c r="D571" s="46"/>
      <c r="E571" s="47"/>
      <c r="F571" s="44" t="str">
        <f aca="true">IF(OR(B571="",E571="",C571="Done",C571="Cancelled"),"",E571-TODAY())</f>
        <v/>
      </c>
      <c r="G571" s="48" t="str">
        <f aca="true">IF(OR(B571="",C571="Done",C571="Cancelled"),"",IF(AND(E571&lt;&gt;"",E571&lt;TODAY()),"OVERDUE",IF(AND(E571&lt;&gt;"",E571=TODAY()),"DUE TODAY",IF(AND(K571&lt;&gt;"",K571&lt;=TODAY()),"FOLLOW UP",IF(AND(E571&lt;&gt;"",E571&lt;=TODAY()+3),"DUE SOON",IF(E571="","NO DUE DATE",""))))))</f>
        <v/>
      </c>
      <c r="H571" s="45"/>
      <c r="I571" s="46"/>
      <c r="J571" s="45"/>
      <c r="K571" s="47"/>
      <c r="L571" s="47"/>
      <c r="M571" s="47"/>
      <c r="N571" s="45"/>
    </row>
    <row r="572" customFormat="false" ht="18" hidden="false" customHeight="true" outlineLevel="0" collapsed="false">
      <c r="A572" s="44" t="str">
        <f aca="false">IF(B572="","",ROW()-4)</f>
        <v/>
      </c>
      <c r="B572" s="45"/>
      <c r="C572" s="46"/>
      <c r="D572" s="46"/>
      <c r="E572" s="47"/>
      <c r="F572" s="44" t="str">
        <f aca="true">IF(OR(B572="",E572="",C572="Done",C572="Cancelled"),"",E572-TODAY())</f>
        <v/>
      </c>
      <c r="G572" s="48" t="str">
        <f aca="true">IF(OR(B572="",C572="Done",C572="Cancelled"),"",IF(AND(E572&lt;&gt;"",E572&lt;TODAY()),"OVERDUE",IF(AND(E572&lt;&gt;"",E572=TODAY()),"DUE TODAY",IF(AND(K572&lt;&gt;"",K572&lt;=TODAY()),"FOLLOW UP",IF(AND(E572&lt;&gt;"",E572&lt;=TODAY()+3),"DUE SOON",IF(E572="","NO DUE DATE",""))))))</f>
        <v/>
      </c>
      <c r="H572" s="45"/>
      <c r="I572" s="46"/>
      <c r="J572" s="45"/>
      <c r="K572" s="47"/>
      <c r="L572" s="47"/>
      <c r="M572" s="47"/>
      <c r="N572" s="45"/>
    </row>
    <row r="573" customFormat="false" ht="18" hidden="false" customHeight="true" outlineLevel="0" collapsed="false">
      <c r="A573" s="44" t="str">
        <f aca="false">IF(B573="","",ROW()-4)</f>
        <v/>
      </c>
      <c r="B573" s="45"/>
      <c r="C573" s="46"/>
      <c r="D573" s="46"/>
      <c r="E573" s="47"/>
      <c r="F573" s="44" t="str">
        <f aca="true">IF(OR(B573="",E573="",C573="Done",C573="Cancelled"),"",E573-TODAY())</f>
        <v/>
      </c>
      <c r="G573" s="48" t="str">
        <f aca="true">IF(OR(B573="",C573="Done",C573="Cancelled"),"",IF(AND(E573&lt;&gt;"",E573&lt;TODAY()),"OVERDUE",IF(AND(E573&lt;&gt;"",E573=TODAY()),"DUE TODAY",IF(AND(K573&lt;&gt;"",K573&lt;=TODAY()),"FOLLOW UP",IF(AND(E573&lt;&gt;"",E573&lt;=TODAY()+3),"DUE SOON",IF(E573="","NO DUE DATE",""))))))</f>
        <v/>
      </c>
      <c r="H573" s="45"/>
      <c r="I573" s="46"/>
      <c r="J573" s="45"/>
      <c r="K573" s="47"/>
      <c r="L573" s="47"/>
      <c r="M573" s="47"/>
      <c r="N573" s="45"/>
    </row>
    <row r="574" customFormat="false" ht="18" hidden="false" customHeight="true" outlineLevel="0" collapsed="false">
      <c r="A574" s="44" t="str">
        <f aca="false">IF(B574="","",ROW()-4)</f>
        <v/>
      </c>
      <c r="B574" s="45"/>
      <c r="C574" s="46"/>
      <c r="D574" s="46"/>
      <c r="E574" s="47"/>
      <c r="F574" s="44" t="str">
        <f aca="true">IF(OR(B574="",E574="",C574="Done",C574="Cancelled"),"",E574-TODAY())</f>
        <v/>
      </c>
      <c r="G574" s="48" t="str">
        <f aca="true">IF(OR(B574="",C574="Done",C574="Cancelled"),"",IF(AND(E574&lt;&gt;"",E574&lt;TODAY()),"OVERDUE",IF(AND(E574&lt;&gt;"",E574=TODAY()),"DUE TODAY",IF(AND(K574&lt;&gt;"",K574&lt;=TODAY()),"FOLLOW UP",IF(AND(E574&lt;&gt;"",E574&lt;=TODAY()+3),"DUE SOON",IF(E574="","NO DUE DATE",""))))))</f>
        <v/>
      </c>
      <c r="H574" s="45"/>
      <c r="I574" s="46"/>
      <c r="J574" s="45"/>
      <c r="K574" s="47"/>
      <c r="L574" s="47"/>
      <c r="M574" s="47"/>
      <c r="N574" s="45"/>
    </row>
    <row r="575" customFormat="false" ht="18" hidden="false" customHeight="true" outlineLevel="0" collapsed="false">
      <c r="A575" s="44" t="str">
        <f aca="false">IF(B575="","",ROW()-4)</f>
        <v/>
      </c>
      <c r="B575" s="45"/>
      <c r="C575" s="46"/>
      <c r="D575" s="46"/>
      <c r="E575" s="47"/>
      <c r="F575" s="44" t="str">
        <f aca="true">IF(OR(B575="",E575="",C575="Done",C575="Cancelled"),"",E575-TODAY())</f>
        <v/>
      </c>
      <c r="G575" s="48" t="str">
        <f aca="true">IF(OR(B575="",C575="Done",C575="Cancelled"),"",IF(AND(E575&lt;&gt;"",E575&lt;TODAY()),"OVERDUE",IF(AND(E575&lt;&gt;"",E575=TODAY()),"DUE TODAY",IF(AND(K575&lt;&gt;"",K575&lt;=TODAY()),"FOLLOW UP",IF(AND(E575&lt;&gt;"",E575&lt;=TODAY()+3),"DUE SOON",IF(E575="","NO DUE DATE",""))))))</f>
        <v/>
      </c>
      <c r="H575" s="45"/>
      <c r="I575" s="46"/>
      <c r="J575" s="45"/>
      <c r="K575" s="47"/>
      <c r="L575" s="47"/>
      <c r="M575" s="47"/>
      <c r="N575" s="45"/>
    </row>
    <row r="576" customFormat="false" ht="18" hidden="false" customHeight="true" outlineLevel="0" collapsed="false">
      <c r="A576" s="44" t="str">
        <f aca="false">IF(B576="","",ROW()-4)</f>
        <v/>
      </c>
      <c r="B576" s="45"/>
      <c r="C576" s="46"/>
      <c r="D576" s="46"/>
      <c r="E576" s="47"/>
      <c r="F576" s="44" t="str">
        <f aca="true">IF(OR(B576="",E576="",C576="Done",C576="Cancelled"),"",E576-TODAY())</f>
        <v/>
      </c>
      <c r="G576" s="48" t="str">
        <f aca="true">IF(OR(B576="",C576="Done",C576="Cancelled"),"",IF(AND(E576&lt;&gt;"",E576&lt;TODAY()),"OVERDUE",IF(AND(E576&lt;&gt;"",E576=TODAY()),"DUE TODAY",IF(AND(K576&lt;&gt;"",K576&lt;=TODAY()),"FOLLOW UP",IF(AND(E576&lt;&gt;"",E576&lt;=TODAY()+3),"DUE SOON",IF(E576="","NO DUE DATE",""))))))</f>
        <v/>
      </c>
      <c r="H576" s="45"/>
      <c r="I576" s="46"/>
      <c r="J576" s="45"/>
      <c r="K576" s="47"/>
      <c r="L576" s="47"/>
      <c r="M576" s="47"/>
      <c r="N576" s="45"/>
    </row>
    <row r="577" customFormat="false" ht="18" hidden="false" customHeight="true" outlineLevel="0" collapsed="false">
      <c r="A577" s="44" t="str">
        <f aca="false">IF(B577="","",ROW()-4)</f>
        <v/>
      </c>
      <c r="B577" s="45"/>
      <c r="C577" s="46"/>
      <c r="D577" s="46"/>
      <c r="E577" s="47"/>
      <c r="F577" s="44" t="str">
        <f aca="true">IF(OR(B577="",E577="",C577="Done",C577="Cancelled"),"",E577-TODAY())</f>
        <v/>
      </c>
      <c r="G577" s="48" t="str">
        <f aca="true">IF(OR(B577="",C577="Done",C577="Cancelled"),"",IF(AND(E577&lt;&gt;"",E577&lt;TODAY()),"OVERDUE",IF(AND(E577&lt;&gt;"",E577=TODAY()),"DUE TODAY",IF(AND(K577&lt;&gt;"",K577&lt;=TODAY()),"FOLLOW UP",IF(AND(E577&lt;&gt;"",E577&lt;=TODAY()+3),"DUE SOON",IF(E577="","NO DUE DATE",""))))))</f>
        <v/>
      </c>
      <c r="H577" s="45"/>
      <c r="I577" s="46"/>
      <c r="J577" s="45"/>
      <c r="K577" s="47"/>
      <c r="L577" s="47"/>
      <c r="M577" s="47"/>
      <c r="N577" s="45"/>
    </row>
    <row r="578" customFormat="false" ht="18" hidden="false" customHeight="true" outlineLevel="0" collapsed="false">
      <c r="A578" s="44" t="str">
        <f aca="false">IF(B578="","",ROW()-4)</f>
        <v/>
      </c>
      <c r="B578" s="45"/>
      <c r="C578" s="46"/>
      <c r="D578" s="46"/>
      <c r="E578" s="47"/>
      <c r="F578" s="44" t="str">
        <f aca="true">IF(OR(B578="",E578="",C578="Done",C578="Cancelled"),"",E578-TODAY())</f>
        <v/>
      </c>
      <c r="G578" s="48" t="str">
        <f aca="true">IF(OR(B578="",C578="Done",C578="Cancelled"),"",IF(AND(E578&lt;&gt;"",E578&lt;TODAY()),"OVERDUE",IF(AND(E578&lt;&gt;"",E578=TODAY()),"DUE TODAY",IF(AND(K578&lt;&gt;"",K578&lt;=TODAY()),"FOLLOW UP",IF(AND(E578&lt;&gt;"",E578&lt;=TODAY()+3),"DUE SOON",IF(E578="","NO DUE DATE",""))))))</f>
        <v/>
      </c>
      <c r="H578" s="45"/>
      <c r="I578" s="46"/>
      <c r="J578" s="45"/>
      <c r="K578" s="47"/>
      <c r="L578" s="47"/>
      <c r="M578" s="47"/>
      <c r="N578" s="45"/>
    </row>
    <row r="579" customFormat="false" ht="18" hidden="false" customHeight="true" outlineLevel="0" collapsed="false">
      <c r="A579" s="44" t="str">
        <f aca="false">IF(B579="","",ROW()-4)</f>
        <v/>
      </c>
      <c r="B579" s="45"/>
      <c r="C579" s="46"/>
      <c r="D579" s="46"/>
      <c r="E579" s="47"/>
      <c r="F579" s="44" t="str">
        <f aca="true">IF(OR(B579="",E579="",C579="Done",C579="Cancelled"),"",E579-TODAY())</f>
        <v/>
      </c>
      <c r="G579" s="48" t="str">
        <f aca="true">IF(OR(B579="",C579="Done",C579="Cancelled"),"",IF(AND(E579&lt;&gt;"",E579&lt;TODAY()),"OVERDUE",IF(AND(E579&lt;&gt;"",E579=TODAY()),"DUE TODAY",IF(AND(K579&lt;&gt;"",K579&lt;=TODAY()),"FOLLOW UP",IF(AND(E579&lt;&gt;"",E579&lt;=TODAY()+3),"DUE SOON",IF(E579="","NO DUE DATE",""))))))</f>
        <v/>
      </c>
      <c r="H579" s="45"/>
      <c r="I579" s="46"/>
      <c r="J579" s="45"/>
      <c r="K579" s="47"/>
      <c r="L579" s="47"/>
      <c r="M579" s="47"/>
      <c r="N579" s="45"/>
    </row>
    <row r="580" customFormat="false" ht="18" hidden="false" customHeight="true" outlineLevel="0" collapsed="false">
      <c r="A580" s="44" t="str">
        <f aca="false">IF(B580="","",ROW()-4)</f>
        <v/>
      </c>
      <c r="B580" s="45"/>
      <c r="C580" s="46"/>
      <c r="D580" s="46"/>
      <c r="E580" s="47"/>
      <c r="F580" s="44" t="str">
        <f aca="true">IF(OR(B580="",E580="",C580="Done",C580="Cancelled"),"",E580-TODAY())</f>
        <v/>
      </c>
      <c r="G580" s="48" t="str">
        <f aca="true">IF(OR(B580="",C580="Done",C580="Cancelled"),"",IF(AND(E580&lt;&gt;"",E580&lt;TODAY()),"OVERDUE",IF(AND(E580&lt;&gt;"",E580=TODAY()),"DUE TODAY",IF(AND(K580&lt;&gt;"",K580&lt;=TODAY()),"FOLLOW UP",IF(AND(E580&lt;&gt;"",E580&lt;=TODAY()+3),"DUE SOON",IF(E580="","NO DUE DATE",""))))))</f>
        <v/>
      </c>
      <c r="H580" s="45"/>
      <c r="I580" s="46"/>
      <c r="J580" s="45"/>
      <c r="K580" s="47"/>
      <c r="L580" s="47"/>
      <c r="M580" s="47"/>
      <c r="N580" s="45"/>
    </row>
    <row r="581" customFormat="false" ht="18" hidden="false" customHeight="true" outlineLevel="0" collapsed="false">
      <c r="A581" s="44" t="str">
        <f aca="false">IF(B581="","",ROW()-4)</f>
        <v/>
      </c>
      <c r="B581" s="45"/>
      <c r="C581" s="46"/>
      <c r="D581" s="46"/>
      <c r="E581" s="47"/>
      <c r="F581" s="44" t="str">
        <f aca="true">IF(OR(B581="",E581="",C581="Done",C581="Cancelled"),"",E581-TODAY())</f>
        <v/>
      </c>
      <c r="G581" s="48" t="str">
        <f aca="true">IF(OR(B581="",C581="Done",C581="Cancelled"),"",IF(AND(E581&lt;&gt;"",E581&lt;TODAY()),"OVERDUE",IF(AND(E581&lt;&gt;"",E581=TODAY()),"DUE TODAY",IF(AND(K581&lt;&gt;"",K581&lt;=TODAY()),"FOLLOW UP",IF(AND(E581&lt;&gt;"",E581&lt;=TODAY()+3),"DUE SOON",IF(E581="","NO DUE DATE",""))))))</f>
        <v/>
      </c>
      <c r="H581" s="45"/>
      <c r="I581" s="46"/>
      <c r="J581" s="45"/>
      <c r="K581" s="47"/>
      <c r="L581" s="47"/>
      <c r="M581" s="47"/>
      <c r="N581" s="45"/>
    </row>
    <row r="582" customFormat="false" ht="18" hidden="false" customHeight="true" outlineLevel="0" collapsed="false">
      <c r="A582" s="44" t="str">
        <f aca="false">IF(B582="","",ROW()-4)</f>
        <v/>
      </c>
      <c r="B582" s="45"/>
      <c r="C582" s="46"/>
      <c r="D582" s="46"/>
      <c r="E582" s="47"/>
      <c r="F582" s="44" t="str">
        <f aca="true">IF(OR(B582="",E582="",C582="Done",C582="Cancelled"),"",E582-TODAY())</f>
        <v/>
      </c>
      <c r="G582" s="48" t="str">
        <f aca="true">IF(OR(B582="",C582="Done",C582="Cancelled"),"",IF(AND(E582&lt;&gt;"",E582&lt;TODAY()),"OVERDUE",IF(AND(E582&lt;&gt;"",E582=TODAY()),"DUE TODAY",IF(AND(K582&lt;&gt;"",K582&lt;=TODAY()),"FOLLOW UP",IF(AND(E582&lt;&gt;"",E582&lt;=TODAY()+3),"DUE SOON",IF(E582="","NO DUE DATE",""))))))</f>
        <v/>
      </c>
      <c r="H582" s="45"/>
      <c r="I582" s="46"/>
      <c r="J582" s="45"/>
      <c r="K582" s="47"/>
      <c r="L582" s="47"/>
      <c r="M582" s="47"/>
      <c r="N582" s="45"/>
    </row>
    <row r="583" customFormat="false" ht="18" hidden="false" customHeight="true" outlineLevel="0" collapsed="false">
      <c r="A583" s="44" t="str">
        <f aca="false">IF(B583="","",ROW()-4)</f>
        <v/>
      </c>
      <c r="B583" s="45"/>
      <c r="C583" s="46"/>
      <c r="D583" s="46"/>
      <c r="E583" s="47"/>
      <c r="F583" s="44" t="str">
        <f aca="true">IF(OR(B583="",E583="",C583="Done",C583="Cancelled"),"",E583-TODAY())</f>
        <v/>
      </c>
      <c r="G583" s="48" t="str">
        <f aca="true">IF(OR(B583="",C583="Done",C583="Cancelled"),"",IF(AND(E583&lt;&gt;"",E583&lt;TODAY()),"OVERDUE",IF(AND(E583&lt;&gt;"",E583=TODAY()),"DUE TODAY",IF(AND(K583&lt;&gt;"",K583&lt;=TODAY()),"FOLLOW UP",IF(AND(E583&lt;&gt;"",E583&lt;=TODAY()+3),"DUE SOON",IF(E583="","NO DUE DATE",""))))))</f>
        <v/>
      </c>
      <c r="H583" s="45"/>
      <c r="I583" s="46"/>
      <c r="J583" s="45"/>
      <c r="K583" s="47"/>
      <c r="L583" s="47"/>
      <c r="M583" s="47"/>
      <c r="N583" s="45"/>
    </row>
    <row r="584" customFormat="false" ht="18" hidden="false" customHeight="true" outlineLevel="0" collapsed="false">
      <c r="A584" s="44" t="str">
        <f aca="false">IF(B584="","",ROW()-4)</f>
        <v/>
      </c>
      <c r="B584" s="45"/>
      <c r="C584" s="46"/>
      <c r="D584" s="46"/>
      <c r="E584" s="47"/>
      <c r="F584" s="44" t="str">
        <f aca="true">IF(OR(B584="",E584="",C584="Done",C584="Cancelled"),"",E584-TODAY())</f>
        <v/>
      </c>
      <c r="G584" s="48" t="str">
        <f aca="true">IF(OR(B584="",C584="Done",C584="Cancelled"),"",IF(AND(E584&lt;&gt;"",E584&lt;TODAY()),"OVERDUE",IF(AND(E584&lt;&gt;"",E584=TODAY()),"DUE TODAY",IF(AND(K584&lt;&gt;"",K584&lt;=TODAY()),"FOLLOW UP",IF(AND(E584&lt;&gt;"",E584&lt;=TODAY()+3),"DUE SOON",IF(E584="","NO DUE DATE",""))))))</f>
        <v/>
      </c>
      <c r="H584" s="45"/>
      <c r="I584" s="46"/>
      <c r="J584" s="45"/>
      <c r="K584" s="47"/>
      <c r="L584" s="47"/>
      <c r="M584" s="47"/>
      <c r="N584" s="45"/>
    </row>
    <row r="585" customFormat="false" ht="18" hidden="false" customHeight="true" outlineLevel="0" collapsed="false">
      <c r="A585" s="44" t="str">
        <f aca="false">IF(B585="","",ROW()-4)</f>
        <v/>
      </c>
      <c r="B585" s="45"/>
      <c r="C585" s="46"/>
      <c r="D585" s="46"/>
      <c r="E585" s="47"/>
      <c r="F585" s="44" t="str">
        <f aca="true">IF(OR(B585="",E585="",C585="Done",C585="Cancelled"),"",E585-TODAY())</f>
        <v/>
      </c>
      <c r="G585" s="48" t="str">
        <f aca="true">IF(OR(B585="",C585="Done",C585="Cancelled"),"",IF(AND(E585&lt;&gt;"",E585&lt;TODAY()),"OVERDUE",IF(AND(E585&lt;&gt;"",E585=TODAY()),"DUE TODAY",IF(AND(K585&lt;&gt;"",K585&lt;=TODAY()),"FOLLOW UP",IF(AND(E585&lt;&gt;"",E585&lt;=TODAY()+3),"DUE SOON",IF(E585="","NO DUE DATE",""))))))</f>
        <v/>
      </c>
      <c r="H585" s="45"/>
      <c r="I585" s="46"/>
      <c r="J585" s="45"/>
      <c r="K585" s="47"/>
      <c r="L585" s="47"/>
      <c r="M585" s="47"/>
      <c r="N585" s="45"/>
    </row>
    <row r="586" customFormat="false" ht="18" hidden="false" customHeight="true" outlineLevel="0" collapsed="false">
      <c r="A586" s="44" t="str">
        <f aca="false">IF(B586="","",ROW()-4)</f>
        <v/>
      </c>
      <c r="B586" s="45"/>
      <c r="C586" s="46"/>
      <c r="D586" s="46"/>
      <c r="E586" s="47"/>
      <c r="F586" s="44" t="str">
        <f aca="true">IF(OR(B586="",E586="",C586="Done",C586="Cancelled"),"",E586-TODAY())</f>
        <v/>
      </c>
      <c r="G586" s="48" t="str">
        <f aca="true">IF(OR(B586="",C586="Done",C586="Cancelled"),"",IF(AND(E586&lt;&gt;"",E586&lt;TODAY()),"OVERDUE",IF(AND(E586&lt;&gt;"",E586=TODAY()),"DUE TODAY",IF(AND(K586&lt;&gt;"",K586&lt;=TODAY()),"FOLLOW UP",IF(AND(E586&lt;&gt;"",E586&lt;=TODAY()+3),"DUE SOON",IF(E586="","NO DUE DATE",""))))))</f>
        <v/>
      </c>
      <c r="H586" s="45"/>
      <c r="I586" s="46"/>
      <c r="J586" s="45"/>
      <c r="K586" s="47"/>
      <c r="L586" s="47"/>
      <c r="M586" s="47"/>
      <c r="N586" s="45"/>
    </row>
    <row r="587" customFormat="false" ht="18" hidden="false" customHeight="true" outlineLevel="0" collapsed="false">
      <c r="A587" s="44" t="str">
        <f aca="false">IF(B587="","",ROW()-4)</f>
        <v/>
      </c>
      <c r="B587" s="45"/>
      <c r="C587" s="46"/>
      <c r="D587" s="46"/>
      <c r="E587" s="47"/>
      <c r="F587" s="44" t="str">
        <f aca="true">IF(OR(B587="",E587="",C587="Done",C587="Cancelled"),"",E587-TODAY())</f>
        <v/>
      </c>
      <c r="G587" s="48" t="str">
        <f aca="true">IF(OR(B587="",C587="Done",C587="Cancelled"),"",IF(AND(E587&lt;&gt;"",E587&lt;TODAY()),"OVERDUE",IF(AND(E587&lt;&gt;"",E587=TODAY()),"DUE TODAY",IF(AND(K587&lt;&gt;"",K587&lt;=TODAY()),"FOLLOW UP",IF(AND(E587&lt;&gt;"",E587&lt;=TODAY()+3),"DUE SOON",IF(E587="","NO DUE DATE",""))))))</f>
        <v/>
      </c>
      <c r="H587" s="45"/>
      <c r="I587" s="46"/>
      <c r="J587" s="45"/>
      <c r="K587" s="47"/>
      <c r="L587" s="47"/>
      <c r="M587" s="47"/>
      <c r="N587" s="45"/>
    </row>
    <row r="588" customFormat="false" ht="18" hidden="false" customHeight="true" outlineLevel="0" collapsed="false">
      <c r="A588" s="44" t="str">
        <f aca="false">IF(B588="","",ROW()-4)</f>
        <v/>
      </c>
      <c r="B588" s="45"/>
      <c r="C588" s="46"/>
      <c r="D588" s="46"/>
      <c r="E588" s="47"/>
      <c r="F588" s="44" t="str">
        <f aca="true">IF(OR(B588="",E588="",C588="Done",C588="Cancelled"),"",E588-TODAY())</f>
        <v/>
      </c>
      <c r="G588" s="48" t="str">
        <f aca="true">IF(OR(B588="",C588="Done",C588="Cancelled"),"",IF(AND(E588&lt;&gt;"",E588&lt;TODAY()),"OVERDUE",IF(AND(E588&lt;&gt;"",E588=TODAY()),"DUE TODAY",IF(AND(K588&lt;&gt;"",K588&lt;=TODAY()),"FOLLOW UP",IF(AND(E588&lt;&gt;"",E588&lt;=TODAY()+3),"DUE SOON",IF(E588="","NO DUE DATE",""))))))</f>
        <v/>
      </c>
      <c r="H588" s="45"/>
      <c r="I588" s="46"/>
      <c r="J588" s="45"/>
      <c r="K588" s="47"/>
      <c r="L588" s="47"/>
      <c r="M588" s="47"/>
      <c r="N588" s="45"/>
    </row>
    <row r="589" customFormat="false" ht="18" hidden="false" customHeight="true" outlineLevel="0" collapsed="false">
      <c r="A589" s="44" t="str">
        <f aca="false">IF(B589="","",ROW()-4)</f>
        <v/>
      </c>
      <c r="B589" s="45"/>
      <c r="C589" s="46"/>
      <c r="D589" s="46"/>
      <c r="E589" s="47"/>
      <c r="F589" s="44" t="str">
        <f aca="true">IF(OR(B589="",E589="",C589="Done",C589="Cancelled"),"",E589-TODAY())</f>
        <v/>
      </c>
      <c r="G589" s="48" t="str">
        <f aca="true">IF(OR(B589="",C589="Done",C589="Cancelled"),"",IF(AND(E589&lt;&gt;"",E589&lt;TODAY()),"OVERDUE",IF(AND(E589&lt;&gt;"",E589=TODAY()),"DUE TODAY",IF(AND(K589&lt;&gt;"",K589&lt;=TODAY()),"FOLLOW UP",IF(AND(E589&lt;&gt;"",E589&lt;=TODAY()+3),"DUE SOON",IF(E589="","NO DUE DATE",""))))))</f>
        <v/>
      </c>
      <c r="H589" s="45"/>
      <c r="I589" s="46"/>
      <c r="J589" s="45"/>
      <c r="K589" s="47"/>
      <c r="L589" s="47"/>
      <c r="M589" s="47"/>
      <c r="N589" s="45"/>
    </row>
    <row r="590" customFormat="false" ht="18" hidden="false" customHeight="true" outlineLevel="0" collapsed="false">
      <c r="A590" s="44" t="str">
        <f aca="false">IF(B590="","",ROW()-4)</f>
        <v/>
      </c>
      <c r="B590" s="45"/>
      <c r="C590" s="46"/>
      <c r="D590" s="46"/>
      <c r="E590" s="47"/>
      <c r="F590" s="44" t="str">
        <f aca="true">IF(OR(B590="",E590="",C590="Done",C590="Cancelled"),"",E590-TODAY())</f>
        <v/>
      </c>
      <c r="G590" s="48" t="str">
        <f aca="true">IF(OR(B590="",C590="Done",C590="Cancelled"),"",IF(AND(E590&lt;&gt;"",E590&lt;TODAY()),"OVERDUE",IF(AND(E590&lt;&gt;"",E590=TODAY()),"DUE TODAY",IF(AND(K590&lt;&gt;"",K590&lt;=TODAY()),"FOLLOW UP",IF(AND(E590&lt;&gt;"",E590&lt;=TODAY()+3),"DUE SOON",IF(E590="","NO DUE DATE",""))))))</f>
        <v/>
      </c>
      <c r="H590" s="45"/>
      <c r="I590" s="46"/>
      <c r="J590" s="45"/>
      <c r="K590" s="47"/>
      <c r="L590" s="47"/>
      <c r="M590" s="47"/>
      <c r="N590" s="45"/>
    </row>
    <row r="591" customFormat="false" ht="18" hidden="false" customHeight="true" outlineLevel="0" collapsed="false">
      <c r="A591" s="44" t="str">
        <f aca="false">IF(B591="","",ROW()-4)</f>
        <v/>
      </c>
      <c r="B591" s="45"/>
      <c r="C591" s="46"/>
      <c r="D591" s="46"/>
      <c r="E591" s="47"/>
      <c r="F591" s="44" t="str">
        <f aca="true">IF(OR(B591="",E591="",C591="Done",C591="Cancelled"),"",E591-TODAY())</f>
        <v/>
      </c>
      <c r="G591" s="48" t="str">
        <f aca="true">IF(OR(B591="",C591="Done",C591="Cancelled"),"",IF(AND(E591&lt;&gt;"",E591&lt;TODAY()),"OVERDUE",IF(AND(E591&lt;&gt;"",E591=TODAY()),"DUE TODAY",IF(AND(K591&lt;&gt;"",K591&lt;=TODAY()),"FOLLOW UP",IF(AND(E591&lt;&gt;"",E591&lt;=TODAY()+3),"DUE SOON",IF(E591="","NO DUE DATE",""))))))</f>
        <v/>
      </c>
      <c r="H591" s="45"/>
      <c r="I591" s="46"/>
      <c r="J591" s="45"/>
      <c r="K591" s="47"/>
      <c r="L591" s="47"/>
      <c r="M591" s="47"/>
      <c r="N591" s="45"/>
    </row>
    <row r="592" customFormat="false" ht="18" hidden="false" customHeight="true" outlineLevel="0" collapsed="false">
      <c r="A592" s="44" t="str">
        <f aca="false">IF(B592="","",ROW()-4)</f>
        <v/>
      </c>
      <c r="B592" s="45"/>
      <c r="C592" s="46"/>
      <c r="D592" s="46"/>
      <c r="E592" s="47"/>
      <c r="F592" s="44" t="str">
        <f aca="true">IF(OR(B592="",E592="",C592="Done",C592="Cancelled"),"",E592-TODAY())</f>
        <v/>
      </c>
      <c r="G592" s="48" t="str">
        <f aca="true">IF(OR(B592="",C592="Done",C592="Cancelled"),"",IF(AND(E592&lt;&gt;"",E592&lt;TODAY()),"OVERDUE",IF(AND(E592&lt;&gt;"",E592=TODAY()),"DUE TODAY",IF(AND(K592&lt;&gt;"",K592&lt;=TODAY()),"FOLLOW UP",IF(AND(E592&lt;&gt;"",E592&lt;=TODAY()+3),"DUE SOON",IF(E592="","NO DUE DATE",""))))))</f>
        <v/>
      </c>
      <c r="H592" s="45"/>
      <c r="I592" s="46"/>
      <c r="J592" s="45"/>
      <c r="K592" s="47"/>
      <c r="L592" s="47"/>
      <c r="M592" s="47"/>
      <c r="N592" s="45"/>
    </row>
    <row r="593" customFormat="false" ht="18" hidden="false" customHeight="true" outlineLevel="0" collapsed="false">
      <c r="A593" s="44" t="str">
        <f aca="false">IF(B593="","",ROW()-4)</f>
        <v/>
      </c>
      <c r="B593" s="45"/>
      <c r="C593" s="46"/>
      <c r="D593" s="46"/>
      <c r="E593" s="47"/>
      <c r="F593" s="44" t="str">
        <f aca="true">IF(OR(B593="",E593="",C593="Done",C593="Cancelled"),"",E593-TODAY())</f>
        <v/>
      </c>
      <c r="G593" s="48" t="str">
        <f aca="true">IF(OR(B593="",C593="Done",C593="Cancelled"),"",IF(AND(E593&lt;&gt;"",E593&lt;TODAY()),"OVERDUE",IF(AND(E593&lt;&gt;"",E593=TODAY()),"DUE TODAY",IF(AND(K593&lt;&gt;"",K593&lt;=TODAY()),"FOLLOW UP",IF(AND(E593&lt;&gt;"",E593&lt;=TODAY()+3),"DUE SOON",IF(E593="","NO DUE DATE",""))))))</f>
        <v/>
      </c>
      <c r="H593" s="45"/>
      <c r="I593" s="46"/>
      <c r="J593" s="45"/>
      <c r="K593" s="47"/>
      <c r="L593" s="47"/>
      <c r="M593" s="47"/>
      <c r="N593" s="45"/>
    </row>
    <row r="594" customFormat="false" ht="18" hidden="false" customHeight="true" outlineLevel="0" collapsed="false">
      <c r="A594" s="44" t="str">
        <f aca="false">IF(B594="","",ROW()-4)</f>
        <v/>
      </c>
      <c r="B594" s="45"/>
      <c r="C594" s="46"/>
      <c r="D594" s="46"/>
      <c r="E594" s="47"/>
      <c r="F594" s="44" t="str">
        <f aca="true">IF(OR(B594="",E594="",C594="Done",C594="Cancelled"),"",E594-TODAY())</f>
        <v/>
      </c>
      <c r="G594" s="48" t="str">
        <f aca="true">IF(OR(B594="",C594="Done",C594="Cancelled"),"",IF(AND(E594&lt;&gt;"",E594&lt;TODAY()),"OVERDUE",IF(AND(E594&lt;&gt;"",E594=TODAY()),"DUE TODAY",IF(AND(K594&lt;&gt;"",K594&lt;=TODAY()),"FOLLOW UP",IF(AND(E594&lt;&gt;"",E594&lt;=TODAY()+3),"DUE SOON",IF(E594="","NO DUE DATE",""))))))</f>
        <v/>
      </c>
      <c r="H594" s="45"/>
      <c r="I594" s="46"/>
      <c r="J594" s="45"/>
      <c r="K594" s="47"/>
      <c r="L594" s="47"/>
      <c r="M594" s="47"/>
      <c r="N594" s="45"/>
    </row>
    <row r="595" customFormat="false" ht="18" hidden="false" customHeight="true" outlineLevel="0" collapsed="false">
      <c r="A595" s="44" t="str">
        <f aca="false">IF(B595="","",ROW()-4)</f>
        <v/>
      </c>
      <c r="B595" s="45"/>
      <c r="C595" s="46"/>
      <c r="D595" s="46"/>
      <c r="E595" s="47"/>
      <c r="F595" s="44" t="str">
        <f aca="true">IF(OR(B595="",E595="",C595="Done",C595="Cancelled"),"",E595-TODAY())</f>
        <v/>
      </c>
      <c r="G595" s="48" t="str">
        <f aca="true">IF(OR(B595="",C595="Done",C595="Cancelled"),"",IF(AND(E595&lt;&gt;"",E595&lt;TODAY()),"OVERDUE",IF(AND(E595&lt;&gt;"",E595=TODAY()),"DUE TODAY",IF(AND(K595&lt;&gt;"",K595&lt;=TODAY()),"FOLLOW UP",IF(AND(E595&lt;&gt;"",E595&lt;=TODAY()+3),"DUE SOON",IF(E595="","NO DUE DATE",""))))))</f>
        <v/>
      </c>
      <c r="H595" s="45"/>
      <c r="I595" s="46"/>
      <c r="J595" s="45"/>
      <c r="K595" s="47"/>
      <c r="L595" s="47"/>
      <c r="M595" s="47"/>
      <c r="N595" s="45"/>
    </row>
    <row r="596" customFormat="false" ht="18" hidden="false" customHeight="true" outlineLevel="0" collapsed="false">
      <c r="A596" s="44" t="str">
        <f aca="false">IF(B596="","",ROW()-4)</f>
        <v/>
      </c>
      <c r="B596" s="45"/>
      <c r="C596" s="46"/>
      <c r="D596" s="46"/>
      <c r="E596" s="47"/>
      <c r="F596" s="44" t="str">
        <f aca="true">IF(OR(B596="",E596="",C596="Done",C596="Cancelled"),"",E596-TODAY())</f>
        <v/>
      </c>
      <c r="G596" s="48" t="str">
        <f aca="true">IF(OR(B596="",C596="Done",C596="Cancelled"),"",IF(AND(E596&lt;&gt;"",E596&lt;TODAY()),"OVERDUE",IF(AND(E596&lt;&gt;"",E596=TODAY()),"DUE TODAY",IF(AND(K596&lt;&gt;"",K596&lt;=TODAY()),"FOLLOW UP",IF(AND(E596&lt;&gt;"",E596&lt;=TODAY()+3),"DUE SOON",IF(E596="","NO DUE DATE",""))))))</f>
        <v/>
      </c>
      <c r="H596" s="45"/>
      <c r="I596" s="46"/>
      <c r="J596" s="45"/>
      <c r="K596" s="47"/>
      <c r="L596" s="47"/>
      <c r="M596" s="47"/>
      <c r="N596" s="45"/>
    </row>
    <row r="597" customFormat="false" ht="18" hidden="false" customHeight="true" outlineLevel="0" collapsed="false">
      <c r="A597" s="44" t="str">
        <f aca="false">IF(B597="","",ROW()-4)</f>
        <v/>
      </c>
      <c r="B597" s="45"/>
      <c r="C597" s="46"/>
      <c r="D597" s="46"/>
      <c r="E597" s="47"/>
      <c r="F597" s="44" t="str">
        <f aca="true">IF(OR(B597="",E597="",C597="Done",C597="Cancelled"),"",E597-TODAY())</f>
        <v/>
      </c>
      <c r="G597" s="48" t="str">
        <f aca="true">IF(OR(B597="",C597="Done",C597="Cancelled"),"",IF(AND(E597&lt;&gt;"",E597&lt;TODAY()),"OVERDUE",IF(AND(E597&lt;&gt;"",E597=TODAY()),"DUE TODAY",IF(AND(K597&lt;&gt;"",K597&lt;=TODAY()),"FOLLOW UP",IF(AND(E597&lt;&gt;"",E597&lt;=TODAY()+3),"DUE SOON",IF(E597="","NO DUE DATE",""))))))</f>
        <v/>
      </c>
      <c r="H597" s="45"/>
      <c r="I597" s="46"/>
      <c r="J597" s="45"/>
      <c r="K597" s="47"/>
      <c r="L597" s="47"/>
      <c r="M597" s="47"/>
      <c r="N597" s="45"/>
    </row>
    <row r="598" customFormat="false" ht="18" hidden="false" customHeight="true" outlineLevel="0" collapsed="false">
      <c r="A598" s="44" t="str">
        <f aca="false">IF(B598="","",ROW()-4)</f>
        <v/>
      </c>
      <c r="B598" s="45"/>
      <c r="C598" s="46"/>
      <c r="D598" s="46"/>
      <c r="E598" s="47"/>
      <c r="F598" s="44" t="str">
        <f aca="true">IF(OR(B598="",E598="",C598="Done",C598="Cancelled"),"",E598-TODAY())</f>
        <v/>
      </c>
      <c r="G598" s="48" t="str">
        <f aca="true">IF(OR(B598="",C598="Done",C598="Cancelled"),"",IF(AND(E598&lt;&gt;"",E598&lt;TODAY()),"OVERDUE",IF(AND(E598&lt;&gt;"",E598=TODAY()),"DUE TODAY",IF(AND(K598&lt;&gt;"",K598&lt;=TODAY()),"FOLLOW UP",IF(AND(E598&lt;&gt;"",E598&lt;=TODAY()+3),"DUE SOON",IF(E598="","NO DUE DATE",""))))))</f>
        <v/>
      </c>
      <c r="H598" s="45"/>
      <c r="I598" s="46"/>
      <c r="J598" s="45"/>
      <c r="K598" s="47"/>
      <c r="L598" s="47"/>
      <c r="M598" s="47"/>
      <c r="N598" s="45"/>
    </row>
    <row r="599" customFormat="false" ht="18" hidden="false" customHeight="true" outlineLevel="0" collapsed="false">
      <c r="A599" s="44" t="str">
        <f aca="false">IF(B599="","",ROW()-4)</f>
        <v/>
      </c>
      <c r="B599" s="45"/>
      <c r="C599" s="46"/>
      <c r="D599" s="46"/>
      <c r="E599" s="47"/>
      <c r="F599" s="44" t="str">
        <f aca="true">IF(OR(B599="",E599="",C599="Done",C599="Cancelled"),"",E599-TODAY())</f>
        <v/>
      </c>
      <c r="G599" s="48" t="str">
        <f aca="true">IF(OR(B599="",C599="Done",C599="Cancelled"),"",IF(AND(E599&lt;&gt;"",E599&lt;TODAY()),"OVERDUE",IF(AND(E599&lt;&gt;"",E599=TODAY()),"DUE TODAY",IF(AND(K599&lt;&gt;"",K599&lt;=TODAY()),"FOLLOW UP",IF(AND(E599&lt;&gt;"",E599&lt;=TODAY()+3),"DUE SOON",IF(E599="","NO DUE DATE",""))))))</f>
        <v/>
      </c>
      <c r="H599" s="45"/>
      <c r="I599" s="46"/>
      <c r="J599" s="45"/>
      <c r="K599" s="47"/>
      <c r="L599" s="47"/>
      <c r="M599" s="47"/>
      <c r="N599" s="45"/>
    </row>
    <row r="600" customFormat="false" ht="18" hidden="false" customHeight="true" outlineLevel="0" collapsed="false">
      <c r="A600" s="44" t="str">
        <f aca="false">IF(B600="","",ROW()-4)</f>
        <v/>
      </c>
      <c r="B600" s="45"/>
      <c r="C600" s="46"/>
      <c r="D600" s="46"/>
      <c r="E600" s="47"/>
      <c r="F600" s="44" t="str">
        <f aca="true">IF(OR(B600="",E600="",C600="Done",C600="Cancelled"),"",E600-TODAY())</f>
        <v/>
      </c>
      <c r="G600" s="48" t="str">
        <f aca="true">IF(OR(B600="",C600="Done",C600="Cancelled"),"",IF(AND(E600&lt;&gt;"",E600&lt;TODAY()),"OVERDUE",IF(AND(E600&lt;&gt;"",E600=TODAY()),"DUE TODAY",IF(AND(K600&lt;&gt;"",K600&lt;=TODAY()),"FOLLOW UP",IF(AND(E600&lt;&gt;"",E600&lt;=TODAY()+3),"DUE SOON",IF(E600="","NO DUE DATE",""))))))</f>
        <v/>
      </c>
      <c r="H600" s="45"/>
      <c r="I600" s="46"/>
      <c r="J600" s="45"/>
      <c r="K600" s="47"/>
      <c r="L600" s="47"/>
      <c r="M600" s="47"/>
      <c r="N600" s="45"/>
    </row>
    <row r="601" customFormat="false" ht="18" hidden="false" customHeight="true" outlineLevel="0" collapsed="false">
      <c r="A601" s="44" t="str">
        <f aca="false">IF(B601="","",ROW()-4)</f>
        <v/>
      </c>
      <c r="B601" s="45"/>
      <c r="C601" s="46"/>
      <c r="D601" s="46"/>
      <c r="E601" s="47"/>
      <c r="F601" s="44" t="str">
        <f aca="true">IF(OR(B601="",E601="",C601="Done",C601="Cancelled"),"",E601-TODAY())</f>
        <v/>
      </c>
      <c r="G601" s="48" t="str">
        <f aca="true">IF(OR(B601="",C601="Done",C601="Cancelled"),"",IF(AND(E601&lt;&gt;"",E601&lt;TODAY()),"OVERDUE",IF(AND(E601&lt;&gt;"",E601=TODAY()),"DUE TODAY",IF(AND(K601&lt;&gt;"",K601&lt;=TODAY()),"FOLLOW UP",IF(AND(E601&lt;&gt;"",E601&lt;=TODAY()+3),"DUE SOON",IF(E601="","NO DUE DATE",""))))))</f>
        <v/>
      </c>
      <c r="H601" s="45"/>
      <c r="I601" s="46"/>
      <c r="J601" s="45"/>
      <c r="K601" s="47"/>
      <c r="L601" s="47"/>
      <c r="M601" s="47"/>
      <c r="N601" s="45"/>
    </row>
    <row r="602" customFormat="false" ht="18" hidden="false" customHeight="true" outlineLevel="0" collapsed="false">
      <c r="A602" s="44" t="str">
        <f aca="false">IF(B602="","",ROW()-4)</f>
        <v/>
      </c>
      <c r="B602" s="45"/>
      <c r="C602" s="46"/>
      <c r="D602" s="46"/>
      <c r="E602" s="47"/>
      <c r="F602" s="44" t="str">
        <f aca="true">IF(OR(B602="",E602="",C602="Done",C602="Cancelled"),"",E602-TODAY())</f>
        <v/>
      </c>
      <c r="G602" s="48" t="str">
        <f aca="true">IF(OR(B602="",C602="Done",C602="Cancelled"),"",IF(AND(E602&lt;&gt;"",E602&lt;TODAY()),"OVERDUE",IF(AND(E602&lt;&gt;"",E602=TODAY()),"DUE TODAY",IF(AND(K602&lt;&gt;"",K602&lt;=TODAY()),"FOLLOW UP",IF(AND(E602&lt;&gt;"",E602&lt;=TODAY()+3),"DUE SOON",IF(E602="","NO DUE DATE",""))))))</f>
        <v/>
      </c>
      <c r="H602" s="45"/>
      <c r="I602" s="46"/>
      <c r="J602" s="45"/>
      <c r="K602" s="47"/>
      <c r="L602" s="47"/>
      <c r="M602" s="47"/>
      <c r="N602" s="45"/>
    </row>
    <row r="603" customFormat="false" ht="18" hidden="false" customHeight="true" outlineLevel="0" collapsed="false">
      <c r="A603" s="44" t="str">
        <f aca="false">IF(B603="","",ROW()-4)</f>
        <v/>
      </c>
      <c r="B603" s="45"/>
      <c r="C603" s="46"/>
      <c r="D603" s="46"/>
      <c r="E603" s="47"/>
      <c r="F603" s="44" t="str">
        <f aca="true">IF(OR(B603="",E603="",C603="Done",C603="Cancelled"),"",E603-TODAY())</f>
        <v/>
      </c>
      <c r="G603" s="48" t="str">
        <f aca="true">IF(OR(B603="",C603="Done",C603="Cancelled"),"",IF(AND(E603&lt;&gt;"",E603&lt;TODAY()),"OVERDUE",IF(AND(E603&lt;&gt;"",E603=TODAY()),"DUE TODAY",IF(AND(K603&lt;&gt;"",K603&lt;=TODAY()),"FOLLOW UP",IF(AND(E603&lt;&gt;"",E603&lt;=TODAY()+3),"DUE SOON",IF(E603="","NO DUE DATE",""))))))</f>
        <v/>
      </c>
      <c r="H603" s="45"/>
      <c r="I603" s="46"/>
      <c r="J603" s="45"/>
      <c r="K603" s="47"/>
      <c r="L603" s="47"/>
      <c r="M603" s="47"/>
      <c r="N603" s="45"/>
    </row>
    <row r="604" customFormat="false" ht="18" hidden="false" customHeight="true" outlineLevel="0" collapsed="false">
      <c r="A604" s="44" t="str">
        <f aca="false">IF(B604="","",ROW()-4)</f>
        <v/>
      </c>
      <c r="B604" s="45"/>
      <c r="C604" s="46"/>
      <c r="D604" s="46"/>
      <c r="E604" s="47"/>
      <c r="F604" s="44" t="str">
        <f aca="true">IF(OR(B604="",E604="",C604="Done",C604="Cancelled"),"",E604-TODAY())</f>
        <v/>
      </c>
      <c r="G604" s="48" t="str">
        <f aca="true">IF(OR(B604="",C604="Done",C604="Cancelled"),"",IF(AND(E604&lt;&gt;"",E604&lt;TODAY()),"OVERDUE",IF(AND(E604&lt;&gt;"",E604=TODAY()),"DUE TODAY",IF(AND(K604&lt;&gt;"",K604&lt;=TODAY()),"FOLLOW UP",IF(AND(E604&lt;&gt;"",E604&lt;=TODAY()+3),"DUE SOON",IF(E604="","NO DUE DATE",""))))))</f>
        <v/>
      </c>
      <c r="H604" s="45"/>
      <c r="I604" s="46"/>
      <c r="J604" s="45"/>
      <c r="K604" s="47"/>
      <c r="L604" s="47"/>
      <c r="M604" s="47"/>
      <c r="N604" s="45"/>
    </row>
    <row r="605" customFormat="false" ht="18" hidden="false" customHeight="true" outlineLevel="0" collapsed="false">
      <c r="A605" s="44" t="str">
        <f aca="false">IF(B605="","",ROW()-4)</f>
        <v/>
      </c>
      <c r="B605" s="45"/>
      <c r="C605" s="46"/>
      <c r="D605" s="46"/>
      <c r="E605" s="47"/>
      <c r="F605" s="44" t="str">
        <f aca="true">IF(OR(B605="",E605="",C605="Done",C605="Cancelled"),"",E605-TODAY())</f>
        <v/>
      </c>
      <c r="G605" s="48" t="str">
        <f aca="true">IF(OR(B605="",C605="Done",C605="Cancelled"),"",IF(AND(E605&lt;&gt;"",E605&lt;TODAY()),"OVERDUE",IF(AND(E605&lt;&gt;"",E605=TODAY()),"DUE TODAY",IF(AND(K605&lt;&gt;"",K605&lt;=TODAY()),"FOLLOW UP",IF(AND(E605&lt;&gt;"",E605&lt;=TODAY()+3),"DUE SOON",IF(E605="","NO DUE DATE",""))))))</f>
        <v/>
      </c>
      <c r="H605" s="45"/>
      <c r="I605" s="46"/>
      <c r="J605" s="45"/>
      <c r="K605" s="47"/>
      <c r="L605" s="47"/>
      <c r="M605" s="47"/>
      <c r="N605" s="45"/>
    </row>
    <row r="606" customFormat="false" ht="18" hidden="false" customHeight="true" outlineLevel="0" collapsed="false">
      <c r="A606" s="44" t="str">
        <f aca="false">IF(B606="","",ROW()-4)</f>
        <v/>
      </c>
      <c r="B606" s="45"/>
      <c r="C606" s="46"/>
      <c r="D606" s="46"/>
      <c r="E606" s="47"/>
      <c r="F606" s="44" t="str">
        <f aca="true">IF(OR(B606="",E606="",C606="Done",C606="Cancelled"),"",E606-TODAY())</f>
        <v/>
      </c>
      <c r="G606" s="48" t="str">
        <f aca="true">IF(OR(B606="",C606="Done",C606="Cancelled"),"",IF(AND(E606&lt;&gt;"",E606&lt;TODAY()),"OVERDUE",IF(AND(E606&lt;&gt;"",E606=TODAY()),"DUE TODAY",IF(AND(K606&lt;&gt;"",K606&lt;=TODAY()),"FOLLOW UP",IF(AND(E606&lt;&gt;"",E606&lt;=TODAY()+3),"DUE SOON",IF(E606="","NO DUE DATE",""))))))</f>
        <v/>
      </c>
      <c r="H606" s="45"/>
      <c r="I606" s="46"/>
      <c r="J606" s="45"/>
      <c r="K606" s="47"/>
      <c r="L606" s="47"/>
      <c r="M606" s="47"/>
      <c r="N606" s="45"/>
    </row>
    <row r="607" customFormat="false" ht="18" hidden="false" customHeight="true" outlineLevel="0" collapsed="false">
      <c r="A607" s="44" t="str">
        <f aca="false">IF(B607="","",ROW()-4)</f>
        <v/>
      </c>
      <c r="B607" s="45"/>
      <c r="C607" s="46"/>
      <c r="D607" s="46"/>
      <c r="E607" s="47"/>
      <c r="F607" s="44" t="str">
        <f aca="true">IF(OR(B607="",E607="",C607="Done",C607="Cancelled"),"",E607-TODAY())</f>
        <v/>
      </c>
      <c r="G607" s="48" t="str">
        <f aca="true">IF(OR(B607="",C607="Done",C607="Cancelled"),"",IF(AND(E607&lt;&gt;"",E607&lt;TODAY()),"OVERDUE",IF(AND(E607&lt;&gt;"",E607=TODAY()),"DUE TODAY",IF(AND(K607&lt;&gt;"",K607&lt;=TODAY()),"FOLLOW UP",IF(AND(E607&lt;&gt;"",E607&lt;=TODAY()+3),"DUE SOON",IF(E607="","NO DUE DATE",""))))))</f>
        <v/>
      </c>
      <c r="H607" s="45"/>
      <c r="I607" s="46"/>
      <c r="J607" s="45"/>
      <c r="K607" s="47"/>
      <c r="L607" s="47"/>
      <c r="M607" s="47"/>
      <c r="N607" s="45"/>
    </row>
    <row r="608" customFormat="false" ht="18" hidden="false" customHeight="true" outlineLevel="0" collapsed="false">
      <c r="A608" s="44" t="str">
        <f aca="false">IF(B608="","",ROW()-4)</f>
        <v/>
      </c>
      <c r="B608" s="45"/>
      <c r="C608" s="46"/>
      <c r="D608" s="46"/>
      <c r="E608" s="47"/>
      <c r="F608" s="44" t="str">
        <f aca="true">IF(OR(B608="",E608="",C608="Done",C608="Cancelled"),"",E608-TODAY())</f>
        <v/>
      </c>
      <c r="G608" s="48" t="str">
        <f aca="true">IF(OR(B608="",C608="Done",C608="Cancelled"),"",IF(AND(E608&lt;&gt;"",E608&lt;TODAY()),"OVERDUE",IF(AND(E608&lt;&gt;"",E608=TODAY()),"DUE TODAY",IF(AND(K608&lt;&gt;"",K608&lt;=TODAY()),"FOLLOW UP",IF(AND(E608&lt;&gt;"",E608&lt;=TODAY()+3),"DUE SOON",IF(E608="","NO DUE DATE",""))))))</f>
        <v/>
      </c>
      <c r="H608" s="45"/>
      <c r="I608" s="46"/>
      <c r="J608" s="45"/>
      <c r="K608" s="47"/>
      <c r="L608" s="47"/>
      <c r="M608" s="47"/>
      <c r="N608" s="45"/>
    </row>
    <row r="609" customFormat="false" ht="18" hidden="false" customHeight="true" outlineLevel="0" collapsed="false">
      <c r="A609" s="44" t="str">
        <f aca="false">IF(B609="","",ROW()-4)</f>
        <v/>
      </c>
      <c r="B609" s="45"/>
      <c r="C609" s="46"/>
      <c r="D609" s="46"/>
      <c r="E609" s="47"/>
      <c r="F609" s="44" t="str">
        <f aca="true">IF(OR(B609="",E609="",C609="Done",C609="Cancelled"),"",E609-TODAY())</f>
        <v/>
      </c>
      <c r="G609" s="48" t="str">
        <f aca="true">IF(OR(B609="",C609="Done",C609="Cancelled"),"",IF(AND(E609&lt;&gt;"",E609&lt;TODAY()),"OVERDUE",IF(AND(E609&lt;&gt;"",E609=TODAY()),"DUE TODAY",IF(AND(K609&lt;&gt;"",K609&lt;=TODAY()),"FOLLOW UP",IF(AND(E609&lt;&gt;"",E609&lt;=TODAY()+3),"DUE SOON",IF(E609="","NO DUE DATE",""))))))</f>
        <v/>
      </c>
      <c r="H609" s="45"/>
      <c r="I609" s="46"/>
      <c r="J609" s="45"/>
      <c r="K609" s="47"/>
      <c r="L609" s="47"/>
      <c r="M609" s="47"/>
      <c r="N609" s="45"/>
    </row>
    <row r="610" customFormat="false" ht="18" hidden="false" customHeight="true" outlineLevel="0" collapsed="false">
      <c r="A610" s="44" t="str">
        <f aca="false">IF(B610="","",ROW()-4)</f>
        <v/>
      </c>
      <c r="B610" s="45"/>
      <c r="C610" s="46"/>
      <c r="D610" s="46"/>
      <c r="E610" s="47"/>
      <c r="F610" s="44" t="str">
        <f aca="true">IF(OR(B610="",E610="",C610="Done",C610="Cancelled"),"",E610-TODAY())</f>
        <v/>
      </c>
      <c r="G610" s="48" t="str">
        <f aca="true">IF(OR(B610="",C610="Done",C610="Cancelled"),"",IF(AND(E610&lt;&gt;"",E610&lt;TODAY()),"OVERDUE",IF(AND(E610&lt;&gt;"",E610=TODAY()),"DUE TODAY",IF(AND(K610&lt;&gt;"",K610&lt;=TODAY()),"FOLLOW UP",IF(AND(E610&lt;&gt;"",E610&lt;=TODAY()+3),"DUE SOON",IF(E610="","NO DUE DATE",""))))))</f>
        <v/>
      </c>
      <c r="H610" s="45"/>
      <c r="I610" s="46"/>
      <c r="J610" s="45"/>
      <c r="K610" s="47"/>
      <c r="L610" s="47"/>
      <c r="M610" s="47"/>
      <c r="N610" s="45"/>
    </row>
    <row r="611" customFormat="false" ht="18" hidden="false" customHeight="true" outlineLevel="0" collapsed="false">
      <c r="A611" s="44" t="str">
        <f aca="false">IF(B611="","",ROW()-4)</f>
        <v/>
      </c>
      <c r="B611" s="45"/>
      <c r="C611" s="46"/>
      <c r="D611" s="46"/>
      <c r="E611" s="47"/>
      <c r="F611" s="44" t="str">
        <f aca="true">IF(OR(B611="",E611="",C611="Done",C611="Cancelled"),"",E611-TODAY())</f>
        <v/>
      </c>
      <c r="G611" s="48" t="str">
        <f aca="true">IF(OR(B611="",C611="Done",C611="Cancelled"),"",IF(AND(E611&lt;&gt;"",E611&lt;TODAY()),"OVERDUE",IF(AND(E611&lt;&gt;"",E611=TODAY()),"DUE TODAY",IF(AND(K611&lt;&gt;"",K611&lt;=TODAY()),"FOLLOW UP",IF(AND(E611&lt;&gt;"",E611&lt;=TODAY()+3),"DUE SOON",IF(E611="","NO DUE DATE",""))))))</f>
        <v/>
      </c>
      <c r="H611" s="45"/>
      <c r="I611" s="46"/>
      <c r="J611" s="45"/>
      <c r="K611" s="47"/>
      <c r="L611" s="47"/>
      <c r="M611" s="47"/>
      <c r="N611" s="45"/>
    </row>
    <row r="612" customFormat="false" ht="18" hidden="false" customHeight="true" outlineLevel="0" collapsed="false">
      <c r="A612" s="44" t="str">
        <f aca="false">IF(B612="","",ROW()-4)</f>
        <v/>
      </c>
      <c r="B612" s="45"/>
      <c r="C612" s="46"/>
      <c r="D612" s="46"/>
      <c r="E612" s="47"/>
      <c r="F612" s="44" t="str">
        <f aca="true">IF(OR(B612="",E612="",C612="Done",C612="Cancelled"),"",E612-TODAY())</f>
        <v/>
      </c>
      <c r="G612" s="48" t="str">
        <f aca="true">IF(OR(B612="",C612="Done",C612="Cancelled"),"",IF(AND(E612&lt;&gt;"",E612&lt;TODAY()),"OVERDUE",IF(AND(E612&lt;&gt;"",E612=TODAY()),"DUE TODAY",IF(AND(K612&lt;&gt;"",K612&lt;=TODAY()),"FOLLOW UP",IF(AND(E612&lt;&gt;"",E612&lt;=TODAY()+3),"DUE SOON",IF(E612="","NO DUE DATE",""))))))</f>
        <v/>
      </c>
      <c r="H612" s="45"/>
      <c r="I612" s="46"/>
      <c r="J612" s="45"/>
      <c r="K612" s="47"/>
      <c r="L612" s="47"/>
      <c r="M612" s="47"/>
      <c r="N612" s="45"/>
    </row>
    <row r="613" customFormat="false" ht="18" hidden="false" customHeight="true" outlineLevel="0" collapsed="false">
      <c r="A613" s="44" t="str">
        <f aca="false">IF(B613="","",ROW()-4)</f>
        <v/>
      </c>
      <c r="B613" s="45"/>
      <c r="C613" s="46"/>
      <c r="D613" s="46"/>
      <c r="E613" s="47"/>
      <c r="F613" s="44" t="str">
        <f aca="true">IF(OR(B613="",E613="",C613="Done",C613="Cancelled"),"",E613-TODAY())</f>
        <v/>
      </c>
      <c r="G613" s="48" t="str">
        <f aca="true">IF(OR(B613="",C613="Done",C613="Cancelled"),"",IF(AND(E613&lt;&gt;"",E613&lt;TODAY()),"OVERDUE",IF(AND(E613&lt;&gt;"",E613=TODAY()),"DUE TODAY",IF(AND(K613&lt;&gt;"",K613&lt;=TODAY()),"FOLLOW UP",IF(AND(E613&lt;&gt;"",E613&lt;=TODAY()+3),"DUE SOON",IF(E613="","NO DUE DATE",""))))))</f>
        <v/>
      </c>
      <c r="H613" s="45"/>
      <c r="I613" s="46"/>
      <c r="J613" s="45"/>
      <c r="K613" s="47"/>
      <c r="L613" s="47"/>
      <c r="M613" s="47"/>
      <c r="N613" s="45"/>
    </row>
    <row r="614" customFormat="false" ht="18" hidden="false" customHeight="true" outlineLevel="0" collapsed="false">
      <c r="A614" s="44" t="str">
        <f aca="false">IF(B614="","",ROW()-4)</f>
        <v/>
      </c>
      <c r="B614" s="45"/>
      <c r="C614" s="46"/>
      <c r="D614" s="46"/>
      <c r="E614" s="47"/>
      <c r="F614" s="44" t="str">
        <f aca="true">IF(OR(B614="",E614="",C614="Done",C614="Cancelled"),"",E614-TODAY())</f>
        <v/>
      </c>
      <c r="G614" s="48" t="str">
        <f aca="true">IF(OR(B614="",C614="Done",C614="Cancelled"),"",IF(AND(E614&lt;&gt;"",E614&lt;TODAY()),"OVERDUE",IF(AND(E614&lt;&gt;"",E614=TODAY()),"DUE TODAY",IF(AND(K614&lt;&gt;"",K614&lt;=TODAY()),"FOLLOW UP",IF(AND(E614&lt;&gt;"",E614&lt;=TODAY()+3),"DUE SOON",IF(E614="","NO DUE DATE",""))))))</f>
        <v/>
      </c>
      <c r="H614" s="45"/>
      <c r="I614" s="46"/>
      <c r="J614" s="45"/>
      <c r="K614" s="47"/>
      <c r="L614" s="47"/>
      <c r="M614" s="47"/>
      <c r="N614" s="45"/>
    </row>
    <row r="615" customFormat="false" ht="18" hidden="false" customHeight="true" outlineLevel="0" collapsed="false">
      <c r="A615" s="44" t="str">
        <f aca="false">IF(B615="","",ROW()-4)</f>
        <v/>
      </c>
      <c r="B615" s="45"/>
      <c r="C615" s="46"/>
      <c r="D615" s="46"/>
      <c r="E615" s="47"/>
      <c r="F615" s="44" t="str">
        <f aca="true">IF(OR(B615="",E615="",C615="Done",C615="Cancelled"),"",E615-TODAY())</f>
        <v/>
      </c>
      <c r="G615" s="48" t="str">
        <f aca="true">IF(OR(B615="",C615="Done",C615="Cancelled"),"",IF(AND(E615&lt;&gt;"",E615&lt;TODAY()),"OVERDUE",IF(AND(E615&lt;&gt;"",E615=TODAY()),"DUE TODAY",IF(AND(K615&lt;&gt;"",K615&lt;=TODAY()),"FOLLOW UP",IF(AND(E615&lt;&gt;"",E615&lt;=TODAY()+3),"DUE SOON",IF(E615="","NO DUE DATE",""))))))</f>
        <v/>
      </c>
      <c r="H615" s="45"/>
      <c r="I615" s="46"/>
      <c r="J615" s="45"/>
      <c r="K615" s="47"/>
      <c r="L615" s="47"/>
      <c r="M615" s="47"/>
      <c r="N615" s="45"/>
    </row>
    <row r="616" customFormat="false" ht="18" hidden="false" customHeight="true" outlineLevel="0" collapsed="false">
      <c r="A616" s="44" t="str">
        <f aca="false">IF(B616="","",ROW()-4)</f>
        <v/>
      </c>
      <c r="B616" s="45"/>
      <c r="C616" s="46"/>
      <c r="D616" s="46"/>
      <c r="E616" s="47"/>
      <c r="F616" s="44" t="str">
        <f aca="true">IF(OR(B616="",E616="",C616="Done",C616="Cancelled"),"",E616-TODAY())</f>
        <v/>
      </c>
      <c r="G616" s="48" t="str">
        <f aca="true">IF(OR(B616="",C616="Done",C616="Cancelled"),"",IF(AND(E616&lt;&gt;"",E616&lt;TODAY()),"OVERDUE",IF(AND(E616&lt;&gt;"",E616=TODAY()),"DUE TODAY",IF(AND(K616&lt;&gt;"",K616&lt;=TODAY()),"FOLLOW UP",IF(AND(E616&lt;&gt;"",E616&lt;=TODAY()+3),"DUE SOON",IF(E616="","NO DUE DATE",""))))))</f>
        <v/>
      </c>
      <c r="H616" s="45"/>
      <c r="I616" s="46"/>
      <c r="J616" s="45"/>
      <c r="K616" s="47"/>
      <c r="L616" s="47"/>
      <c r="M616" s="47"/>
      <c r="N616" s="45"/>
    </row>
    <row r="617" customFormat="false" ht="18" hidden="false" customHeight="true" outlineLevel="0" collapsed="false">
      <c r="A617" s="44" t="str">
        <f aca="false">IF(B617="","",ROW()-4)</f>
        <v/>
      </c>
      <c r="B617" s="45"/>
      <c r="C617" s="46"/>
      <c r="D617" s="46"/>
      <c r="E617" s="47"/>
      <c r="F617" s="44" t="str">
        <f aca="true">IF(OR(B617="",E617="",C617="Done",C617="Cancelled"),"",E617-TODAY())</f>
        <v/>
      </c>
      <c r="G617" s="48" t="str">
        <f aca="true">IF(OR(B617="",C617="Done",C617="Cancelled"),"",IF(AND(E617&lt;&gt;"",E617&lt;TODAY()),"OVERDUE",IF(AND(E617&lt;&gt;"",E617=TODAY()),"DUE TODAY",IF(AND(K617&lt;&gt;"",K617&lt;=TODAY()),"FOLLOW UP",IF(AND(E617&lt;&gt;"",E617&lt;=TODAY()+3),"DUE SOON",IF(E617="","NO DUE DATE",""))))))</f>
        <v/>
      </c>
      <c r="H617" s="45"/>
      <c r="I617" s="46"/>
      <c r="J617" s="45"/>
      <c r="K617" s="47"/>
      <c r="L617" s="47"/>
      <c r="M617" s="47"/>
      <c r="N617" s="45"/>
    </row>
    <row r="618" customFormat="false" ht="18" hidden="false" customHeight="true" outlineLevel="0" collapsed="false">
      <c r="A618" s="44" t="str">
        <f aca="false">IF(B618="","",ROW()-4)</f>
        <v/>
      </c>
      <c r="B618" s="45"/>
      <c r="C618" s="46"/>
      <c r="D618" s="46"/>
      <c r="E618" s="47"/>
      <c r="F618" s="44" t="str">
        <f aca="true">IF(OR(B618="",E618="",C618="Done",C618="Cancelled"),"",E618-TODAY())</f>
        <v/>
      </c>
      <c r="G618" s="48" t="str">
        <f aca="true">IF(OR(B618="",C618="Done",C618="Cancelled"),"",IF(AND(E618&lt;&gt;"",E618&lt;TODAY()),"OVERDUE",IF(AND(E618&lt;&gt;"",E618=TODAY()),"DUE TODAY",IF(AND(K618&lt;&gt;"",K618&lt;=TODAY()),"FOLLOW UP",IF(AND(E618&lt;&gt;"",E618&lt;=TODAY()+3),"DUE SOON",IF(E618="","NO DUE DATE",""))))))</f>
        <v/>
      </c>
      <c r="H618" s="45"/>
      <c r="I618" s="46"/>
      <c r="J618" s="45"/>
      <c r="K618" s="47"/>
      <c r="L618" s="47"/>
      <c r="M618" s="47"/>
      <c r="N618" s="45"/>
    </row>
    <row r="619" customFormat="false" ht="18" hidden="false" customHeight="true" outlineLevel="0" collapsed="false">
      <c r="A619" s="44" t="str">
        <f aca="false">IF(B619="","",ROW()-4)</f>
        <v/>
      </c>
      <c r="B619" s="45"/>
      <c r="C619" s="46"/>
      <c r="D619" s="46"/>
      <c r="E619" s="47"/>
      <c r="F619" s="44" t="str">
        <f aca="true">IF(OR(B619="",E619="",C619="Done",C619="Cancelled"),"",E619-TODAY())</f>
        <v/>
      </c>
      <c r="G619" s="48" t="str">
        <f aca="true">IF(OR(B619="",C619="Done",C619="Cancelled"),"",IF(AND(E619&lt;&gt;"",E619&lt;TODAY()),"OVERDUE",IF(AND(E619&lt;&gt;"",E619=TODAY()),"DUE TODAY",IF(AND(K619&lt;&gt;"",K619&lt;=TODAY()),"FOLLOW UP",IF(AND(E619&lt;&gt;"",E619&lt;=TODAY()+3),"DUE SOON",IF(E619="","NO DUE DATE",""))))))</f>
        <v/>
      </c>
      <c r="H619" s="45"/>
      <c r="I619" s="46"/>
      <c r="J619" s="45"/>
      <c r="K619" s="47"/>
      <c r="L619" s="47"/>
      <c r="M619" s="47"/>
      <c r="N619" s="45"/>
    </row>
    <row r="620" customFormat="false" ht="18" hidden="false" customHeight="true" outlineLevel="0" collapsed="false">
      <c r="A620" s="44" t="str">
        <f aca="false">IF(B620="","",ROW()-4)</f>
        <v/>
      </c>
      <c r="B620" s="45"/>
      <c r="C620" s="46"/>
      <c r="D620" s="46"/>
      <c r="E620" s="47"/>
      <c r="F620" s="44" t="str">
        <f aca="true">IF(OR(B620="",E620="",C620="Done",C620="Cancelled"),"",E620-TODAY())</f>
        <v/>
      </c>
      <c r="G620" s="48" t="str">
        <f aca="true">IF(OR(B620="",C620="Done",C620="Cancelled"),"",IF(AND(E620&lt;&gt;"",E620&lt;TODAY()),"OVERDUE",IF(AND(E620&lt;&gt;"",E620=TODAY()),"DUE TODAY",IF(AND(K620&lt;&gt;"",K620&lt;=TODAY()),"FOLLOW UP",IF(AND(E620&lt;&gt;"",E620&lt;=TODAY()+3),"DUE SOON",IF(E620="","NO DUE DATE",""))))))</f>
        <v/>
      </c>
      <c r="H620" s="45"/>
      <c r="I620" s="46"/>
      <c r="J620" s="45"/>
      <c r="K620" s="47"/>
      <c r="L620" s="47"/>
      <c r="M620" s="47"/>
      <c r="N620" s="45"/>
    </row>
    <row r="621" customFormat="false" ht="18" hidden="false" customHeight="true" outlineLevel="0" collapsed="false">
      <c r="A621" s="44" t="str">
        <f aca="false">IF(B621="","",ROW()-4)</f>
        <v/>
      </c>
      <c r="B621" s="45"/>
      <c r="C621" s="46"/>
      <c r="D621" s="46"/>
      <c r="E621" s="47"/>
      <c r="F621" s="44" t="str">
        <f aca="true">IF(OR(B621="",E621="",C621="Done",C621="Cancelled"),"",E621-TODAY())</f>
        <v/>
      </c>
      <c r="G621" s="48" t="str">
        <f aca="true">IF(OR(B621="",C621="Done",C621="Cancelled"),"",IF(AND(E621&lt;&gt;"",E621&lt;TODAY()),"OVERDUE",IF(AND(E621&lt;&gt;"",E621=TODAY()),"DUE TODAY",IF(AND(K621&lt;&gt;"",K621&lt;=TODAY()),"FOLLOW UP",IF(AND(E621&lt;&gt;"",E621&lt;=TODAY()+3),"DUE SOON",IF(E621="","NO DUE DATE",""))))))</f>
        <v/>
      </c>
      <c r="H621" s="45"/>
      <c r="I621" s="46"/>
      <c r="J621" s="45"/>
      <c r="K621" s="47"/>
      <c r="L621" s="47"/>
      <c r="M621" s="47"/>
      <c r="N621" s="45"/>
    </row>
    <row r="622" customFormat="false" ht="18" hidden="false" customHeight="true" outlineLevel="0" collapsed="false">
      <c r="A622" s="44" t="str">
        <f aca="false">IF(B622="","",ROW()-4)</f>
        <v/>
      </c>
      <c r="B622" s="45"/>
      <c r="C622" s="46"/>
      <c r="D622" s="46"/>
      <c r="E622" s="47"/>
      <c r="F622" s="44" t="str">
        <f aca="true">IF(OR(B622="",E622="",C622="Done",C622="Cancelled"),"",E622-TODAY())</f>
        <v/>
      </c>
      <c r="G622" s="48" t="str">
        <f aca="true">IF(OR(B622="",C622="Done",C622="Cancelled"),"",IF(AND(E622&lt;&gt;"",E622&lt;TODAY()),"OVERDUE",IF(AND(E622&lt;&gt;"",E622=TODAY()),"DUE TODAY",IF(AND(K622&lt;&gt;"",K622&lt;=TODAY()),"FOLLOW UP",IF(AND(E622&lt;&gt;"",E622&lt;=TODAY()+3),"DUE SOON",IF(E622="","NO DUE DATE",""))))))</f>
        <v/>
      </c>
      <c r="H622" s="45"/>
      <c r="I622" s="46"/>
      <c r="J622" s="45"/>
      <c r="K622" s="47"/>
      <c r="L622" s="47"/>
      <c r="M622" s="47"/>
      <c r="N622" s="45"/>
    </row>
    <row r="623" customFormat="false" ht="18" hidden="false" customHeight="true" outlineLevel="0" collapsed="false">
      <c r="A623" s="44" t="str">
        <f aca="false">IF(B623="","",ROW()-4)</f>
        <v/>
      </c>
      <c r="B623" s="45"/>
      <c r="C623" s="46"/>
      <c r="D623" s="46"/>
      <c r="E623" s="47"/>
      <c r="F623" s="44" t="str">
        <f aca="true">IF(OR(B623="",E623="",C623="Done",C623="Cancelled"),"",E623-TODAY())</f>
        <v/>
      </c>
      <c r="G623" s="48" t="str">
        <f aca="true">IF(OR(B623="",C623="Done",C623="Cancelled"),"",IF(AND(E623&lt;&gt;"",E623&lt;TODAY()),"OVERDUE",IF(AND(E623&lt;&gt;"",E623=TODAY()),"DUE TODAY",IF(AND(K623&lt;&gt;"",K623&lt;=TODAY()),"FOLLOW UP",IF(AND(E623&lt;&gt;"",E623&lt;=TODAY()+3),"DUE SOON",IF(E623="","NO DUE DATE",""))))))</f>
        <v/>
      </c>
      <c r="H623" s="45"/>
      <c r="I623" s="46"/>
      <c r="J623" s="45"/>
      <c r="K623" s="47"/>
      <c r="L623" s="47"/>
      <c r="M623" s="47"/>
      <c r="N623" s="45"/>
    </row>
    <row r="624" customFormat="false" ht="18" hidden="false" customHeight="true" outlineLevel="0" collapsed="false">
      <c r="A624" s="44" t="str">
        <f aca="false">IF(B624="","",ROW()-4)</f>
        <v/>
      </c>
      <c r="B624" s="45"/>
      <c r="C624" s="46"/>
      <c r="D624" s="46"/>
      <c r="E624" s="47"/>
      <c r="F624" s="44" t="str">
        <f aca="true">IF(OR(B624="",E624="",C624="Done",C624="Cancelled"),"",E624-TODAY())</f>
        <v/>
      </c>
      <c r="G624" s="48" t="str">
        <f aca="true">IF(OR(B624="",C624="Done",C624="Cancelled"),"",IF(AND(E624&lt;&gt;"",E624&lt;TODAY()),"OVERDUE",IF(AND(E624&lt;&gt;"",E624=TODAY()),"DUE TODAY",IF(AND(K624&lt;&gt;"",K624&lt;=TODAY()),"FOLLOW UP",IF(AND(E624&lt;&gt;"",E624&lt;=TODAY()+3),"DUE SOON",IF(E624="","NO DUE DATE",""))))))</f>
        <v/>
      </c>
      <c r="H624" s="45"/>
      <c r="I624" s="46"/>
      <c r="J624" s="45"/>
      <c r="K624" s="47"/>
      <c r="L624" s="47"/>
      <c r="M624" s="47"/>
      <c r="N624" s="45"/>
    </row>
    <row r="625" customFormat="false" ht="18" hidden="false" customHeight="true" outlineLevel="0" collapsed="false">
      <c r="A625" s="44" t="str">
        <f aca="false">IF(B625="","",ROW()-4)</f>
        <v/>
      </c>
      <c r="B625" s="45"/>
      <c r="C625" s="46"/>
      <c r="D625" s="46"/>
      <c r="E625" s="47"/>
      <c r="F625" s="44" t="str">
        <f aca="true">IF(OR(B625="",E625="",C625="Done",C625="Cancelled"),"",E625-TODAY())</f>
        <v/>
      </c>
      <c r="G625" s="48" t="str">
        <f aca="true">IF(OR(B625="",C625="Done",C625="Cancelled"),"",IF(AND(E625&lt;&gt;"",E625&lt;TODAY()),"OVERDUE",IF(AND(E625&lt;&gt;"",E625=TODAY()),"DUE TODAY",IF(AND(K625&lt;&gt;"",K625&lt;=TODAY()),"FOLLOW UP",IF(AND(E625&lt;&gt;"",E625&lt;=TODAY()+3),"DUE SOON",IF(E625="","NO DUE DATE",""))))))</f>
        <v/>
      </c>
      <c r="H625" s="45"/>
      <c r="I625" s="46"/>
      <c r="J625" s="45"/>
      <c r="K625" s="47"/>
      <c r="L625" s="47"/>
      <c r="M625" s="47"/>
      <c r="N625" s="45"/>
    </row>
    <row r="626" customFormat="false" ht="18" hidden="false" customHeight="true" outlineLevel="0" collapsed="false">
      <c r="A626" s="44" t="str">
        <f aca="false">IF(B626="","",ROW()-4)</f>
        <v/>
      </c>
      <c r="B626" s="45"/>
      <c r="C626" s="46"/>
      <c r="D626" s="46"/>
      <c r="E626" s="47"/>
      <c r="F626" s="44" t="str">
        <f aca="true">IF(OR(B626="",E626="",C626="Done",C626="Cancelled"),"",E626-TODAY())</f>
        <v/>
      </c>
      <c r="G626" s="48" t="str">
        <f aca="true">IF(OR(B626="",C626="Done",C626="Cancelled"),"",IF(AND(E626&lt;&gt;"",E626&lt;TODAY()),"OVERDUE",IF(AND(E626&lt;&gt;"",E626=TODAY()),"DUE TODAY",IF(AND(K626&lt;&gt;"",K626&lt;=TODAY()),"FOLLOW UP",IF(AND(E626&lt;&gt;"",E626&lt;=TODAY()+3),"DUE SOON",IF(E626="","NO DUE DATE",""))))))</f>
        <v/>
      </c>
      <c r="H626" s="45"/>
      <c r="I626" s="46"/>
      <c r="J626" s="45"/>
      <c r="K626" s="47"/>
      <c r="L626" s="47"/>
      <c r="M626" s="47"/>
      <c r="N626" s="45"/>
    </row>
    <row r="627" customFormat="false" ht="18" hidden="false" customHeight="true" outlineLevel="0" collapsed="false">
      <c r="A627" s="44" t="str">
        <f aca="false">IF(B627="","",ROW()-4)</f>
        <v/>
      </c>
      <c r="B627" s="45"/>
      <c r="C627" s="46"/>
      <c r="D627" s="46"/>
      <c r="E627" s="47"/>
      <c r="F627" s="44" t="str">
        <f aca="true">IF(OR(B627="",E627="",C627="Done",C627="Cancelled"),"",E627-TODAY())</f>
        <v/>
      </c>
      <c r="G627" s="48" t="str">
        <f aca="true">IF(OR(B627="",C627="Done",C627="Cancelled"),"",IF(AND(E627&lt;&gt;"",E627&lt;TODAY()),"OVERDUE",IF(AND(E627&lt;&gt;"",E627=TODAY()),"DUE TODAY",IF(AND(K627&lt;&gt;"",K627&lt;=TODAY()),"FOLLOW UP",IF(AND(E627&lt;&gt;"",E627&lt;=TODAY()+3),"DUE SOON",IF(E627="","NO DUE DATE",""))))))</f>
        <v/>
      </c>
      <c r="H627" s="45"/>
      <c r="I627" s="46"/>
      <c r="J627" s="45"/>
      <c r="K627" s="47"/>
      <c r="L627" s="47"/>
      <c r="M627" s="47"/>
      <c r="N627" s="45"/>
    </row>
    <row r="628" customFormat="false" ht="18" hidden="false" customHeight="true" outlineLevel="0" collapsed="false">
      <c r="A628" s="44" t="str">
        <f aca="false">IF(B628="","",ROW()-4)</f>
        <v/>
      </c>
      <c r="B628" s="45"/>
      <c r="C628" s="46"/>
      <c r="D628" s="46"/>
      <c r="E628" s="47"/>
      <c r="F628" s="44" t="str">
        <f aca="true">IF(OR(B628="",E628="",C628="Done",C628="Cancelled"),"",E628-TODAY())</f>
        <v/>
      </c>
      <c r="G628" s="48" t="str">
        <f aca="true">IF(OR(B628="",C628="Done",C628="Cancelled"),"",IF(AND(E628&lt;&gt;"",E628&lt;TODAY()),"OVERDUE",IF(AND(E628&lt;&gt;"",E628=TODAY()),"DUE TODAY",IF(AND(K628&lt;&gt;"",K628&lt;=TODAY()),"FOLLOW UP",IF(AND(E628&lt;&gt;"",E628&lt;=TODAY()+3),"DUE SOON",IF(E628="","NO DUE DATE",""))))))</f>
        <v/>
      </c>
      <c r="H628" s="45"/>
      <c r="I628" s="46"/>
      <c r="J628" s="45"/>
      <c r="K628" s="47"/>
      <c r="L628" s="47"/>
      <c r="M628" s="47"/>
      <c r="N628" s="45"/>
    </row>
    <row r="629" customFormat="false" ht="18" hidden="false" customHeight="true" outlineLevel="0" collapsed="false">
      <c r="A629" s="44" t="str">
        <f aca="false">IF(B629="","",ROW()-4)</f>
        <v/>
      </c>
      <c r="B629" s="45"/>
      <c r="C629" s="46"/>
      <c r="D629" s="46"/>
      <c r="E629" s="47"/>
      <c r="F629" s="44" t="str">
        <f aca="true">IF(OR(B629="",E629="",C629="Done",C629="Cancelled"),"",E629-TODAY())</f>
        <v/>
      </c>
      <c r="G629" s="48" t="str">
        <f aca="true">IF(OR(B629="",C629="Done",C629="Cancelled"),"",IF(AND(E629&lt;&gt;"",E629&lt;TODAY()),"OVERDUE",IF(AND(E629&lt;&gt;"",E629=TODAY()),"DUE TODAY",IF(AND(K629&lt;&gt;"",K629&lt;=TODAY()),"FOLLOW UP",IF(AND(E629&lt;&gt;"",E629&lt;=TODAY()+3),"DUE SOON",IF(E629="","NO DUE DATE",""))))))</f>
        <v/>
      </c>
      <c r="H629" s="45"/>
      <c r="I629" s="46"/>
      <c r="J629" s="45"/>
      <c r="K629" s="47"/>
      <c r="L629" s="47"/>
      <c r="M629" s="47"/>
      <c r="N629" s="45"/>
    </row>
    <row r="630" customFormat="false" ht="18" hidden="false" customHeight="true" outlineLevel="0" collapsed="false">
      <c r="A630" s="44" t="str">
        <f aca="false">IF(B630="","",ROW()-4)</f>
        <v/>
      </c>
      <c r="B630" s="45"/>
      <c r="C630" s="46"/>
      <c r="D630" s="46"/>
      <c r="E630" s="47"/>
      <c r="F630" s="44" t="str">
        <f aca="true">IF(OR(B630="",E630="",C630="Done",C630="Cancelled"),"",E630-TODAY())</f>
        <v/>
      </c>
      <c r="G630" s="48" t="str">
        <f aca="true">IF(OR(B630="",C630="Done",C630="Cancelled"),"",IF(AND(E630&lt;&gt;"",E630&lt;TODAY()),"OVERDUE",IF(AND(E630&lt;&gt;"",E630=TODAY()),"DUE TODAY",IF(AND(K630&lt;&gt;"",K630&lt;=TODAY()),"FOLLOW UP",IF(AND(E630&lt;&gt;"",E630&lt;=TODAY()+3),"DUE SOON",IF(E630="","NO DUE DATE",""))))))</f>
        <v/>
      </c>
      <c r="H630" s="45"/>
      <c r="I630" s="46"/>
      <c r="J630" s="45"/>
      <c r="K630" s="47"/>
      <c r="L630" s="47"/>
      <c r="M630" s="47"/>
      <c r="N630" s="45"/>
    </row>
    <row r="631" customFormat="false" ht="18" hidden="false" customHeight="true" outlineLevel="0" collapsed="false">
      <c r="A631" s="44" t="str">
        <f aca="false">IF(B631="","",ROW()-4)</f>
        <v/>
      </c>
      <c r="B631" s="45"/>
      <c r="C631" s="46"/>
      <c r="D631" s="46"/>
      <c r="E631" s="47"/>
      <c r="F631" s="44" t="str">
        <f aca="true">IF(OR(B631="",E631="",C631="Done",C631="Cancelled"),"",E631-TODAY())</f>
        <v/>
      </c>
      <c r="G631" s="48" t="str">
        <f aca="true">IF(OR(B631="",C631="Done",C631="Cancelled"),"",IF(AND(E631&lt;&gt;"",E631&lt;TODAY()),"OVERDUE",IF(AND(E631&lt;&gt;"",E631=TODAY()),"DUE TODAY",IF(AND(K631&lt;&gt;"",K631&lt;=TODAY()),"FOLLOW UP",IF(AND(E631&lt;&gt;"",E631&lt;=TODAY()+3),"DUE SOON",IF(E631="","NO DUE DATE",""))))))</f>
        <v/>
      </c>
      <c r="H631" s="45"/>
      <c r="I631" s="46"/>
      <c r="J631" s="45"/>
      <c r="K631" s="47"/>
      <c r="L631" s="47"/>
      <c r="M631" s="47"/>
      <c r="N631" s="45"/>
    </row>
    <row r="632" customFormat="false" ht="18" hidden="false" customHeight="true" outlineLevel="0" collapsed="false">
      <c r="A632" s="44" t="str">
        <f aca="false">IF(B632="","",ROW()-4)</f>
        <v/>
      </c>
      <c r="B632" s="45"/>
      <c r="C632" s="46"/>
      <c r="D632" s="46"/>
      <c r="E632" s="47"/>
      <c r="F632" s="44" t="str">
        <f aca="true">IF(OR(B632="",E632="",C632="Done",C632="Cancelled"),"",E632-TODAY())</f>
        <v/>
      </c>
      <c r="G632" s="48" t="str">
        <f aca="true">IF(OR(B632="",C632="Done",C632="Cancelled"),"",IF(AND(E632&lt;&gt;"",E632&lt;TODAY()),"OVERDUE",IF(AND(E632&lt;&gt;"",E632=TODAY()),"DUE TODAY",IF(AND(K632&lt;&gt;"",K632&lt;=TODAY()),"FOLLOW UP",IF(AND(E632&lt;&gt;"",E632&lt;=TODAY()+3),"DUE SOON",IF(E632="","NO DUE DATE",""))))))</f>
        <v/>
      </c>
      <c r="H632" s="45"/>
      <c r="I632" s="46"/>
      <c r="J632" s="45"/>
      <c r="K632" s="47"/>
      <c r="L632" s="47"/>
      <c r="M632" s="47"/>
      <c r="N632" s="45"/>
    </row>
    <row r="633" customFormat="false" ht="18" hidden="false" customHeight="true" outlineLevel="0" collapsed="false">
      <c r="A633" s="44" t="str">
        <f aca="false">IF(B633="","",ROW()-4)</f>
        <v/>
      </c>
      <c r="B633" s="45"/>
      <c r="C633" s="46"/>
      <c r="D633" s="46"/>
      <c r="E633" s="47"/>
      <c r="F633" s="44" t="str">
        <f aca="true">IF(OR(B633="",E633="",C633="Done",C633="Cancelled"),"",E633-TODAY())</f>
        <v/>
      </c>
      <c r="G633" s="48" t="str">
        <f aca="true">IF(OR(B633="",C633="Done",C633="Cancelled"),"",IF(AND(E633&lt;&gt;"",E633&lt;TODAY()),"OVERDUE",IF(AND(E633&lt;&gt;"",E633=TODAY()),"DUE TODAY",IF(AND(K633&lt;&gt;"",K633&lt;=TODAY()),"FOLLOW UP",IF(AND(E633&lt;&gt;"",E633&lt;=TODAY()+3),"DUE SOON",IF(E633="","NO DUE DATE",""))))))</f>
        <v/>
      </c>
      <c r="H633" s="45"/>
      <c r="I633" s="46"/>
      <c r="J633" s="45"/>
      <c r="K633" s="47"/>
      <c r="L633" s="47"/>
      <c r="M633" s="47"/>
      <c r="N633" s="45"/>
    </row>
    <row r="634" customFormat="false" ht="18" hidden="false" customHeight="true" outlineLevel="0" collapsed="false">
      <c r="A634" s="44" t="str">
        <f aca="false">IF(B634="","",ROW()-4)</f>
        <v/>
      </c>
      <c r="B634" s="45"/>
      <c r="C634" s="46"/>
      <c r="D634" s="46"/>
      <c r="E634" s="47"/>
      <c r="F634" s="44" t="str">
        <f aca="true">IF(OR(B634="",E634="",C634="Done",C634="Cancelled"),"",E634-TODAY())</f>
        <v/>
      </c>
      <c r="G634" s="48" t="str">
        <f aca="true">IF(OR(B634="",C634="Done",C634="Cancelled"),"",IF(AND(E634&lt;&gt;"",E634&lt;TODAY()),"OVERDUE",IF(AND(E634&lt;&gt;"",E634=TODAY()),"DUE TODAY",IF(AND(K634&lt;&gt;"",K634&lt;=TODAY()),"FOLLOW UP",IF(AND(E634&lt;&gt;"",E634&lt;=TODAY()+3),"DUE SOON",IF(E634="","NO DUE DATE",""))))))</f>
        <v/>
      </c>
      <c r="H634" s="45"/>
      <c r="I634" s="46"/>
      <c r="J634" s="45"/>
      <c r="K634" s="47"/>
      <c r="L634" s="47"/>
      <c r="M634" s="47"/>
      <c r="N634" s="45"/>
    </row>
    <row r="635" customFormat="false" ht="18" hidden="false" customHeight="true" outlineLevel="0" collapsed="false">
      <c r="A635" s="44" t="str">
        <f aca="false">IF(B635="","",ROW()-4)</f>
        <v/>
      </c>
      <c r="B635" s="45"/>
      <c r="C635" s="46"/>
      <c r="D635" s="46"/>
      <c r="E635" s="47"/>
      <c r="F635" s="44" t="str">
        <f aca="true">IF(OR(B635="",E635="",C635="Done",C635="Cancelled"),"",E635-TODAY())</f>
        <v/>
      </c>
      <c r="G635" s="48" t="str">
        <f aca="true">IF(OR(B635="",C635="Done",C635="Cancelled"),"",IF(AND(E635&lt;&gt;"",E635&lt;TODAY()),"OVERDUE",IF(AND(E635&lt;&gt;"",E635=TODAY()),"DUE TODAY",IF(AND(K635&lt;&gt;"",K635&lt;=TODAY()),"FOLLOW UP",IF(AND(E635&lt;&gt;"",E635&lt;=TODAY()+3),"DUE SOON",IF(E635="","NO DUE DATE",""))))))</f>
        <v/>
      </c>
      <c r="H635" s="45"/>
      <c r="I635" s="46"/>
      <c r="J635" s="45"/>
      <c r="K635" s="47"/>
      <c r="L635" s="47"/>
      <c r="M635" s="47"/>
      <c r="N635" s="45"/>
    </row>
    <row r="636" customFormat="false" ht="18" hidden="false" customHeight="true" outlineLevel="0" collapsed="false">
      <c r="A636" s="44" t="str">
        <f aca="false">IF(B636="","",ROW()-4)</f>
        <v/>
      </c>
      <c r="B636" s="45"/>
      <c r="C636" s="46"/>
      <c r="D636" s="46"/>
      <c r="E636" s="47"/>
      <c r="F636" s="44" t="str">
        <f aca="true">IF(OR(B636="",E636="",C636="Done",C636="Cancelled"),"",E636-TODAY())</f>
        <v/>
      </c>
      <c r="G636" s="48" t="str">
        <f aca="true">IF(OR(B636="",C636="Done",C636="Cancelled"),"",IF(AND(E636&lt;&gt;"",E636&lt;TODAY()),"OVERDUE",IF(AND(E636&lt;&gt;"",E636=TODAY()),"DUE TODAY",IF(AND(K636&lt;&gt;"",K636&lt;=TODAY()),"FOLLOW UP",IF(AND(E636&lt;&gt;"",E636&lt;=TODAY()+3),"DUE SOON",IF(E636="","NO DUE DATE",""))))))</f>
        <v/>
      </c>
      <c r="H636" s="45"/>
      <c r="I636" s="46"/>
      <c r="J636" s="45"/>
      <c r="K636" s="47"/>
      <c r="L636" s="47"/>
      <c r="M636" s="47"/>
      <c r="N636" s="45"/>
    </row>
    <row r="637" customFormat="false" ht="18" hidden="false" customHeight="true" outlineLevel="0" collapsed="false">
      <c r="A637" s="44" t="str">
        <f aca="false">IF(B637="","",ROW()-4)</f>
        <v/>
      </c>
      <c r="B637" s="45"/>
      <c r="C637" s="46"/>
      <c r="D637" s="46"/>
      <c r="E637" s="47"/>
      <c r="F637" s="44" t="str">
        <f aca="true">IF(OR(B637="",E637="",C637="Done",C637="Cancelled"),"",E637-TODAY())</f>
        <v/>
      </c>
      <c r="G637" s="48" t="str">
        <f aca="true">IF(OR(B637="",C637="Done",C637="Cancelled"),"",IF(AND(E637&lt;&gt;"",E637&lt;TODAY()),"OVERDUE",IF(AND(E637&lt;&gt;"",E637=TODAY()),"DUE TODAY",IF(AND(K637&lt;&gt;"",K637&lt;=TODAY()),"FOLLOW UP",IF(AND(E637&lt;&gt;"",E637&lt;=TODAY()+3),"DUE SOON",IF(E637="","NO DUE DATE",""))))))</f>
        <v/>
      </c>
      <c r="H637" s="45"/>
      <c r="I637" s="46"/>
      <c r="J637" s="45"/>
      <c r="K637" s="47"/>
      <c r="L637" s="47"/>
      <c r="M637" s="47"/>
      <c r="N637" s="45"/>
    </row>
    <row r="638" customFormat="false" ht="18" hidden="false" customHeight="true" outlineLevel="0" collapsed="false">
      <c r="A638" s="44" t="str">
        <f aca="false">IF(B638="","",ROW()-4)</f>
        <v/>
      </c>
      <c r="B638" s="45"/>
      <c r="C638" s="46"/>
      <c r="D638" s="46"/>
      <c r="E638" s="47"/>
      <c r="F638" s="44" t="str">
        <f aca="true">IF(OR(B638="",E638="",C638="Done",C638="Cancelled"),"",E638-TODAY())</f>
        <v/>
      </c>
      <c r="G638" s="48" t="str">
        <f aca="true">IF(OR(B638="",C638="Done",C638="Cancelled"),"",IF(AND(E638&lt;&gt;"",E638&lt;TODAY()),"OVERDUE",IF(AND(E638&lt;&gt;"",E638=TODAY()),"DUE TODAY",IF(AND(K638&lt;&gt;"",K638&lt;=TODAY()),"FOLLOW UP",IF(AND(E638&lt;&gt;"",E638&lt;=TODAY()+3),"DUE SOON",IF(E638="","NO DUE DATE",""))))))</f>
        <v/>
      </c>
      <c r="H638" s="45"/>
      <c r="I638" s="46"/>
      <c r="J638" s="45"/>
      <c r="K638" s="47"/>
      <c r="L638" s="47"/>
      <c r="M638" s="47"/>
      <c r="N638" s="45"/>
    </row>
    <row r="639" customFormat="false" ht="18" hidden="false" customHeight="true" outlineLevel="0" collapsed="false">
      <c r="A639" s="44" t="str">
        <f aca="false">IF(B639="","",ROW()-4)</f>
        <v/>
      </c>
      <c r="B639" s="45"/>
      <c r="C639" s="46"/>
      <c r="D639" s="46"/>
      <c r="E639" s="47"/>
      <c r="F639" s="44" t="str">
        <f aca="true">IF(OR(B639="",E639="",C639="Done",C639="Cancelled"),"",E639-TODAY())</f>
        <v/>
      </c>
      <c r="G639" s="48" t="str">
        <f aca="true">IF(OR(B639="",C639="Done",C639="Cancelled"),"",IF(AND(E639&lt;&gt;"",E639&lt;TODAY()),"OVERDUE",IF(AND(E639&lt;&gt;"",E639=TODAY()),"DUE TODAY",IF(AND(K639&lt;&gt;"",K639&lt;=TODAY()),"FOLLOW UP",IF(AND(E639&lt;&gt;"",E639&lt;=TODAY()+3),"DUE SOON",IF(E639="","NO DUE DATE",""))))))</f>
        <v/>
      </c>
      <c r="H639" s="45"/>
      <c r="I639" s="46"/>
      <c r="J639" s="45"/>
      <c r="K639" s="47"/>
      <c r="L639" s="47"/>
      <c r="M639" s="47"/>
      <c r="N639" s="45"/>
    </row>
    <row r="640" customFormat="false" ht="18" hidden="false" customHeight="true" outlineLevel="0" collapsed="false">
      <c r="A640" s="44" t="str">
        <f aca="false">IF(B640="","",ROW()-4)</f>
        <v/>
      </c>
      <c r="B640" s="45"/>
      <c r="C640" s="46"/>
      <c r="D640" s="46"/>
      <c r="E640" s="47"/>
      <c r="F640" s="44" t="str">
        <f aca="true">IF(OR(B640="",E640="",C640="Done",C640="Cancelled"),"",E640-TODAY())</f>
        <v/>
      </c>
      <c r="G640" s="48" t="str">
        <f aca="true">IF(OR(B640="",C640="Done",C640="Cancelled"),"",IF(AND(E640&lt;&gt;"",E640&lt;TODAY()),"OVERDUE",IF(AND(E640&lt;&gt;"",E640=TODAY()),"DUE TODAY",IF(AND(K640&lt;&gt;"",K640&lt;=TODAY()),"FOLLOW UP",IF(AND(E640&lt;&gt;"",E640&lt;=TODAY()+3),"DUE SOON",IF(E640="","NO DUE DATE",""))))))</f>
        <v/>
      </c>
      <c r="H640" s="45"/>
      <c r="I640" s="46"/>
      <c r="J640" s="45"/>
      <c r="K640" s="47"/>
      <c r="L640" s="47"/>
      <c r="M640" s="47"/>
      <c r="N640" s="45"/>
    </row>
    <row r="641" customFormat="false" ht="18" hidden="false" customHeight="true" outlineLevel="0" collapsed="false">
      <c r="A641" s="44" t="str">
        <f aca="false">IF(B641="","",ROW()-4)</f>
        <v/>
      </c>
      <c r="B641" s="45"/>
      <c r="C641" s="46"/>
      <c r="D641" s="46"/>
      <c r="E641" s="47"/>
      <c r="F641" s="44" t="str">
        <f aca="true">IF(OR(B641="",E641="",C641="Done",C641="Cancelled"),"",E641-TODAY())</f>
        <v/>
      </c>
      <c r="G641" s="48" t="str">
        <f aca="true">IF(OR(B641="",C641="Done",C641="Cancelled"),"",IF(AND(E641&lt;&gt;"",E641&lt;TODAY()),"OVERDUE",IF(AND(E641&lt;&gt;"",E641=TODAY()),"DUE TODAY",IF(AND(K641&lt;&gt;"",K641&lt;=TODAY()),"FOLLOW UP",IF(AND(E641&lt;&gt;"",E641&lt;=TODAY()+3),"DUE SOON",IF(E641="","NO DUE DATE",""))))))</f>
        <v/>
      </c>
      <c r="H641" s="45"/>
      <c r="I641" s="46"/>
      <c r="J641" s="45"/>
      <c r="K641" s="47"/>
      <c r="L641" s="47"/>
      <c r="M641" s="47"/>
      <c r="N641" s="45"/>
    </row>
    <row r="642" customFormat="false" ht="18" hidden="false" customHeight="true" outlineLevel="0" collapsed="false">
      <c r="A642" s="44" t="str">
        <f aca="false">IF(B642="","",ROW()-4)</f>
        <v/>
      </c>
      <c r="B642" s="45"/>
      <c r="C642" s="46"/>
      <c r="D642" s="46"/>
      <c r="E642" s="47"/>
      <c r="F642" s="44" t="str">
        <f aca="true">IF(OR(B642="",E642="",C642="Done",C642="Cancelled"),"",E642-TODAY())</f>
        <v/>
      </c>
      <c r="G642" s="48" t="str">
        <f aca="true">IF(OR(B642="",C642="Done",C642="Cancelled"),"",IF(AND(E642&lt;&gt;"",E642&lt;TODAY()),"OVERDUE",IF(AND(E642&lt;&gt;"",E642=TODAY()),"DUE TODAY",IF(AND(K642&lt;&gt;"",K642&lt;=TODAY()),"FOLLOW UP",IF(AND(E642&lt;&gt;"",E642&lt;=TODAY()+3),"DUE SOON",IF(E642="","NO DUE DATE",""))))))</f>
        <v/>
      </c>
      <c r="H642" s="45"/>
      <c r="I642" s="46"/>
      <c r="J642" s="45"/>
      <c r="K642" s="47"/>
      <c r="L642" s="47"/>
      <c r="M642" s="47"/>
      <c r="N642" s="45"/>
    </row>
    <row r="643" customFormat="false" ht="18" hidden="false" customHeight="true" outlineLevel="0" collapsed="false">
      <c r="A643" s="44" t="str">
        <f aca="false">IF(B643="","",ROW()-4)</f>
        <v/>
      </c>
      <c r="B643" s="45"/>
      <c r="C643" s="46"/>
      <c r="D643" s="46"/>
      <c r="E643" s="47"/>
      <c r="F643" s="44" t="str">
        <f aca="true">IF(OR(B643="",E643="",C643="Done",C643="Cancelled"),"",E643-TODAY())</f>
        <v/>
      </c>
      <c r="G643" s="48" t="str">
        <f aca="true">IF(OR(B643="",C643="Done",C643="Cancelled"),"",IF(AND(E643&lt;&gt;"",E643&lt;TODAY()),"OVERDUE",IF(AND(E643&lt;&gt;"",E643=TODAY()),"DUE TODAY",IF(AND(K643&lt;&gt;"",K643&lt;=TODAY()),"FOLLOW UP",IF(AND(E643&lt;&gt;"",E643&lt;=TODAY()+3),"DUE SOON",IF(E643="","NO DUE DATE",""))))))</f>
        <v/>
      </c>
      <c r="H643" s="45"/>
      <c r="I643" s="46"/>
      <c r="J643" s="45"/>
      <c r="K643" s="47"/>
      <c r="L643" s="47"/>
      <c r="M643" s="47"/>
      <c r="N643" s="45"/>
    </row>
    <row r="644" customFormat="false" ht="18" hidden="false" customHeight="true" outlineLevel="0" collapsed="false">
      <c r="A644" s="44" t="str">
        <f aca="false">IF(B644="","",ROW()-4)</f>
        <v/>
      </c>
      <c r="B644" s="45"/>
      <c r="C644" s="46"/>
      <c r="D644" s="46"/>
      <c r="E644" s="47"/>
      <c r="F644" s="44" t="str">
        <f aca="true">IF(OR(B644="",E644="",C644="Done",C644="Cancelled"),"",E644-TODAY())</f>
        <v/>
      </c>
      <c r="G644" s="48" t="str">
        <f aca="true">IF(OR(B644="",C644="Done",C644="Cancelled"),"",IF(AND(E644&lt;&gt;"",E644&lt;TODAY()),"OVERDUE",IF(AND(E644&lt;&gt;"",E644=TODAY()),"DUE TODAY",IF(AND(K644&lt;&gt;"",K644&lt;=TODAY()),"FOLLOW UP",IF(AND(E644&lt;&gt;"",E644&lt;=TODAY()+3),"DUE SOON",IF(E644="","NO DUE DATE",""))))))</f>
        <v/>
      </c>
      <c r="H644" s="45"/>
      <c r="I644" s="46"/>
      <c r="J644" s="45"/>
      <c r="K644" s="47"/>
      <c r="L644" s="47"/>
      <c r="M644" s="47"/>
      <c r="N644" s="45"/>
    </row>
    <row r="645" customFormat="false" ht="18" hidden="false" customHeight="true" outlineLevel="0" collapsed="false">
      <c r="A645" s="44" t="str">
        <f aca="false">IF(B645="","",ROW()-4)</f>
        <v/>
      </c>
      <c r="B645" s="45"/>
      <c r="C645" s="46"/>
      <c r="D645" s="46"/>
      <c r="E645" s="47"/>
      <c r="F645" s="44" t="str">
        <f aca="true">IF(OR(B645="",E645="",C645="Done",C645="Cancelled"),"",E645-TODAY())</f>
        <v/>
      </c>
      <c r="G645" s="48" t="str">
        <f aca="true">IF(OR(B645="",C645="Done",C645="Cancelled"),"",IF(AND(E645&lt;&gt;"",E645&lt;TODAY()),"OVERDUE",IF(AND(E645&lt;&gt;"",E645=TODAY()),"DUE TODAY",IF(AND(K645&lt;&gt;"",K645&lt;=TODAY()),"FOLLOW UP",IF(AND(E645&lt;&gt;"",E645&lt;=TODAY()+3),"DUE SOON",IF(E645="","NO DUE DATE",""))))))</f>
        <v/>
      </c>
      <c r="H645" s="45"/>
      <c r="I645" s="46"/>
      <c r="J645" s="45"/>
      <c r="K645" s="47"/>
      <c r="L645" s="47"/>
      <c r="M645" s="47"/>
      <c r="N645" s="45"/>
    </row>
    <row r="646" customFormat="false" ht="18" hidden="false" customHeight="true" outlineLevel="0" collapsed="false">
      <c r="A646" s="44" t="str">
        <f aca="false">IF(B646="","",ROW()-4)</f>
        <v/>
      </c>
      <c r="B646" s="45"/>
      <c r="C646" s="46"/>
      <c r="D646" s="46"/>
      <c r="E646" s="47"/>
      <c r="F646" s="44" t="str">
        <f aca="true">IF(OR(B646="",E646="",C646="Done",C646="Cancelled"),"",E646-TODAY())</f>
        <v/>
      </c>
      <c r="G646" s="48" t="str">
        <f aca="true">IF(OR(B646="",C646="Done",C646="Cancelled"),"",IF(AND(E646&lt;&gt;"",E646&lt;TODAY()),"OVERDUE",IF(AND(E646&lt;&gt;"",E646=TODAY()),"DUE TODAY",IF(AND(K646&lt;&gt;"",K646&lt;=TODAY()),"FOLLOW UP",IF(AND(E646&lt;&gt;"",E646&lt;=TODAY()+3),"DUE SOON",IF(E646="","NO DUE DATE",""))))))</f>
        <v/>
      </c>
      <c r="H646" s="45"/>
      <c r="I646" s="46"/>
      <c r="J646" s="45"/>
      <c r="K646" s="47"/>
      <c r="L646" s="47"/>
      <c r="M646" s="47"/>
      <c r="N646" s="45"/>
    </row>
    <row r="647" customFormat="false" ht="18" hidden="false" customHeight="true" outlineLevel="0" collapsed="false">
      <c r="A647" s="44" t="str">
        <f aca="false">IF(B647="","",ROW()-4)</f>
        <v/>
      </c>
      <c r="B647" s="45"/>
      <c r="C647" s="46"/>
      <c r="D647" s="46"/>
      <c r="E647" s="47"/>
      <c r="F647" s="44" t="str">
        <f aca="true">IF(OR(B647="",E647="",C647="Done",C647="Cancelled"),"",E647-TODAY())</f>
        <v/>
      </c>
      <c r="G647" s="48" t="str">
        <f aca="true">IF(OR(B647="",C647="Done",C647="Cancelled"),"",IF(AND(E647&lt;&gt;"",E647&lt;TODAY()),"OVERDUE",IF(AND(E647&lt;&gt;"",E647=TODAY()),"DUE TODAY",IF(AND(K647&lt;&gt;"",K647&lt;=TODAY()),"FOLLOW UP",IF(AND(E647&lt;&gt;"",E647&lt;=TODAY()+3),"DUE SOON",IF(E647="","NO DUE DATE",""))))))</f>
        <v/>
      </c>
      <c r="H647" s="45"/>
      <c r="I647" s="46"/>
      <c r="J647" s="45"/>
      <c r="K647" s="47"/>
      <c r="L647" s="47"/>
      <c r="M647" s="47"/>
      <c r="N647" s="45"/>
    </row>
    <row r="648" customFormat="false" ht="18" hidden="false" customHeight="true" outlineLevel="0" collapsed="false">
      <c r="A648" s="44" t="str">
        <f aca="false">IF(B648="","",ROW()-4)</f>
        <v/>
      </c>
      <c r="B648" s="45"/>
      <c r="C648" s="46"/>
      <c r="D648" s="46"/>
      <c r="E648" s="47"/>
      <c r="F648" s="44" t="str">
        <f aca="true">IF(OR(B648="",E648="",C648="Done",C648="Cancelled"),"",E648-TODAY())</f>
        <v/>
      </c>
      <c r="G648" s="48" t="str">
        <f aca="true">IF(OR(B648="",C648="Done",C648="Cancelled"),"",IF(AND(E648&lt;&gt;"",E648&lt;TODAY()),"OVERDUE",IF(AND(E648&lt;&gt;"",E648=TODAY()),"DUE TODAY",IF(AND(K648&lt;&gt;"",K648&lt;=TODAY()),"FOLLOW UP",IF(AND(E648&lt;&gt;"",E648&lt;=TODAY()+3),"DUE SOON",IF(E648="","NO DUE DATE",""))))))</f>
        <v/>
      </c>
      <c r="H648" s="45"/>
      <c r="I648" s="46"/>
      <c r="J648" s="45"/>
      <c r="K648" s="47"/>
      <c r="L648" s="47"/>
      <c r="M648" s="47"/>
      <c r="N648" s="45"/>
    </row>
    <row r="649" customFormat="false" ht="18" hidden="false" customHeight="true" outlineLevel="0" collapsed="false">
      <c r="A649" s="44" t="str">
        <f aca="false">IF(B649="","",ROW()-4)</f>
        <v/>
      </c>
      <c r="B649" s="45"/>
      <c r="C649" s="46"/>
      <c r="D649" s="46"/>
      <c r="E649" s="47"/>
      <c r="F649" s="44" t="str">
        <f aca="true">IF(OR(B649="",E649="",C649="Done",C649="Cancelled"),"",E649-TODAY())</f>
        <v/>
      </c>
      <c r="G649" s="48" t="str">
        <f aca="true">IF(OR(B649="",C649="Done",C649="Cancelled"),"",IF(AND(E649&lt;&gt;"",E649&lt;TODAY()),"OVERDUE",IF(AND(E649&lt;&gt;"",E649=TODAY()),"DUE TODAY",IF(AND(K649&lt;&gt;"",K649&lt;=TODAY()),"FOLLOW UP",IF(AND(E649&lt;&gt;"",E649&lt;=TODAY()+3),"DUE SOON",IF(E649="","NO DUE DATE",""))))))</f>
        <v/>
      </c>
      <c r="H649" s="45"/>
      <c r="I649" s="46"/>
      <c r="J649" s="45"/>
      <c r="K649" s="47"/>
      <c r="L649" s="47"/>
      <c r="M649" s="47"/>
      <c r="N649" s="45"/>
    </row>
    <row r="650" customFormat="false" ht="18" hidden="false" customHeight="true" outlineLevel="0" collapsed="false">
      <c r="A650" s="44" t="str">
        <f aca="false">IF(B650="","",ROW()-4)</f>
        <v/>
      </c>
      <c r="B650" s="45"/>
      <c r="C650" s="46"/>
      <c r="D650" s="46"/>
      <c r="E650" s="47"/>
      <c r="F650" s="44" t="str">
        <f aca="true">IF(OR(B650="",E650="",C650="Done",C650="Cancelled"),"",E650-TODAY())</f>
        <v/>
      </c>
      <c r="G650" s="48" t="str">
        <f aca="true">IF(OR(B650="",C650="Done",C650="Cancelled"),"",IF(AND(E650&lt;&gt;"",E650&lt;TODAY()),"OVERDUE",IF(AND(E650&lt;&gt;"",E650=TODAY()),"DUE TODAY",IF(AND(K650&lt;&gt;"",K650&lt;=TODAY()),"FOLLOW UP",IF(AND(E650&lt;&gt;"",E650&lt;=TODAY()+3),"DUE SOON",IF(E650="","NO DUE DATE",""))))))</f>
        <v/>
      </c>
      <c r="H650" s="45"/>
      <c r="I650" s="46"/>
      <c r="J650" s="45"/>
      <c r="K650" s="47"/>
      <c r="L650" s="47"/>
      <c r="M650" s="47"/>
      <c r="N650" s="45"/>
    </row>
    <row r="651" customFormat="false" ht="18" hidden="false" customHeight="true" outlineLevel="0" collapsed="false">
      <c r="A651" s="44" t="str">
        <f aca="false">IF(B651="","",ROW()-4)</f>
        <v/>
      </c>
      <c r="B651" s="45"/>
      <c r="C651" s="46"/>
      <c r="D651" s="46"/>
      <c r="E651" s="47"/>
      <c r="F651" s="44" t="str">
        <f aca="true">IF(OR(B651="",E651="",C651="Done",C651="Cancelled"),"",E651-TODAY())</f>
        <v/>
      </c>
      <c r="G651" s="48" t="str">
        <f aca="true">IF(OR(B651="",C651="Done",C651="Cancelled"),"",IF(AND(E651&lt;&gt;"",E651&lt;TODAY()),"OVERDUE",IF(AND(E651&lt;&gt;"",E651=TODAY()),"DUE TODAY",IF(AND(K651&lt;&gt;"",K651&lt;=TODAY()),"FOLLOW UP",IF(AND(E651&lt;&gt;"",E651&lt;=TODAY()+3),"DUE SOON",IF(E651="","NO DUE DATE",""))))))</f>
        <v/>
      </c>
      <c r="H651" s="45"/>
      <c r="I651" s="46"/>
      <c r="J651" s="45"/>
      <c r="K651" s="47"/>
      <c r="L651" s="47"/>
      <c r="M651" s="47"/>
      <c r="N651" s="45"/>
    </row>
    <row r="652" customFormat="false" ht="18" hidden="false" customHeight="true" outlineLevel="0" collapsed="false">
      <c r="A652" s="44" t="str">
        <f aca="false">IF(B652="","",ROW()-4)</f>
        <v/>
      </c>
      <c r="B652" s="45"/>
      <c r="C652" s="46"/>
      <c r="D652" s="46"/>
      <c r="E652" s="47"/>
      <c r="F652" s="44" t="str">
        <f aca="true">IF(OR(B652="",E652="",C652="Done",C652="Cancelled"),"",E652-TODAY())</f>
        <v/>
      </c>
      <c r="G652" s="48" t="str">
        <f aca="true">IF(OR(B652="",C652="Done",C652="Cancelled"),"",IF(AND(E652&lt;&gt;"",E652&lt;TODAY()),"OVERDUE",IF(AND(E652&lt;&gt;"",E652=TODAY()),"DUE TODAY",IF(AND(K652&lt;&gt;"",K652&lt;=TODAY()),"FOLLOW UP",IF(AND(E652&lt;&gt;"",E652&lt;=TODAY()+3),"DUE SOON",IF(E652="","NO DUE DATE",""))))))</f>
        <v/>
      </c>
      <c r="H652" s="45"/>
      <c r="I652" s="46"/>
      <c r="J652" s="45"/>
      <c r="K652" s="47"/>
      <c r="L652" s="47"/>
      <c r="M652" s="47"/>
      <c r="N652" s="45"/>
    </row>
    <row r="653" customFormat="false" ht="18" hidden="false" customHeight="true" outlineLevel="0" collapsed="false">
      <c r="A653" s="44" t="str">
        <f aca="false">IF(B653="","",ROW()-4)</f>
        <v/>
      </c>
      <c r="B653" s="45"/>
      <c r="C653" s="46"/>
      <c r="D653" s="46"/>
      <c r="E653" s="47"/>
      <c r="F653" s="44" t="str">
        <f aca="true">IF(OR(B653="",E653="",C653="Done",C653="Cancelled"),"",E653-TODAY())</f>
        <v/>
      </c>
      <c r="G653" s="48" t="str">
        <f aca="true">IF(OR(B653="",C653="Done",C653="Cancelled"),"",IF(AND(E653&lt;&gt;"",E653&lt;TODAY()),"OVERDUE",IF(AND(E653&lt;&gt;"",E653=TODAY()),"DUE TODAY",IF(AND(K653&lt;&gt;"",K653&lt;=TODAY()),"FOLLOW UP",IF(AND(E653&lt;&gt;"",E653&lt;=TODAY()+3),"DUE SOON",IF(E653="","NO DUE DATE",""))))))</f>
        <v/>
      </c>
      <c r="H653" s="45"/>
      <c r="I653" s="46"/>
      <c r="J653" s="45"/>
      <c r="K653" s="47"/>
      <c r="L653" s="47"/>
      <c r="M653" s="47"/>
      <c r="N653" s="45"/>
    </row>
    <row r="654" customFormat="false" ht="18" hidden="false" customHeight="true" outlineLevel="0" collapsed="false">
      <c r="A654" s="44" t="str">
        <f aca="false">IF(B654="","",ROW()-4)</f>
        <v/>
      </c>
      <c r="B654" s="45"/>
      <c r="C654" s="46"/>
      <c r="D654" s="46"/>
      <c r="E654" s="47"/>
      <c r="F654" s="44" t="str">
        <f aca="true">IF(OR(B654="",E654="",C654="Done",C654="Cancelled"),"",E654-TODAY())</f>
        <v/>
      </c>
      <c r="G654" s="48" t="str">
        <f aca="true">IF(OR(B654="",C654="Done",C654="Cancelled"),"",IF(AND(E654&lt;&gt;"",E654&lt;TODAY()),"OVERDUE",IF(AND(E654&lt;&gt;"",E654=TODAY()),"DUE TODAY",IF(AND(K654&lt;&gt;"",K654&lt;=TODAY()),"FOLLOW UP",IF(AND(E654&lt;&gt;"",E654&lt;=TODAY()+3),"DUE SOON",IF(E654="","NO DUE DATE",""))))))</f>
        <v/>
      </c>
      <c r="H654" s="45"/>
      <c r="I654" s="46"/>
      <c r="J654" s="45"/>
      <c r="K654" s="47"/>
      <c r="L654" s="47"/>
      <c r="M654" s="47"/>
      <c r="N654" s="45"/>
    </row>
    <row r="655" customFormat="false" ht="18" hidden="false" customHeight="true" outlineLevel="0" collapsed="false">
      <c r="A655" s="44" t="str">
        <f aca="false">IF(B655="","",ROW()-4)</f>
        <v/>
      </c>
      <c r="B655" s="45"/>
      <c r="C655" s="46"/>
      <c r="D655" s="46"/>
      <c r="E655" s="47"/>
      <c r="F655" s="44" t="str">
        <f aca="true">IF(OR(B655="",E655="",C655="Done",C655="Cancelled"),"",E655-TODAY())</f>
        <v/>
      </c>
      <c r="G655" s="48" t="str">
        <f aca="true">IF(OR(B655="",C655="Done",C655="Cancelled"),"",IF(AND(E655&lt;&gt;"",E655&lt;TODAY()),"OVERDUE",IF(AND(E655&lt;&gt;"",E655=TODAY()),"DUE TODAY",IF(AND(K655&lt;&gt;"",K655&lt;=TODAY()),"FOLLOW UP",IF(AND(E655&lt;&gt;"",E655&lt;=TODAY()+3),"DUE SOON",IF(E655="","NO DUE DATE",""))))))</f>
        <v/>
      </c>
      <c r="H655" s="45"/>
      <c r="I655" s="46"/>
      <c r="J655" s="45"/>
      <c r="K655" s="47"/>
      <c r="L655" s="47"/>
      <c r="M655" s="47"/>
      <c r="N655" s="45"/>
    </row>
    <row r="656" customFormat="false" ht="18" hidden="false" customHeight="true" outlineLevel="0" collapsed="false">
      <c r="A656" s="44" t="str">
        <f aca="false">IF(B656="","",ROW()-4)</f>
        <v/>
      </c>
      <c r="B656" s="45"/>
      <c r="C656" s="46"/>
      <c r="D656" s="46"/>
      <c r="E656" s="47"/>
      <c r="F656" s="44" t="str">
        <f aca="true">IF(OR(B656="",E656="",C656="Done",C656="Cancelled"),"",E656-TODAY())</f>
        <v/>
      </c>
      <c r="G656" s="48" t="str">
        <f aca="true">IF(OR(B656="",C656="Done",C656="Cancelled"),"",IF(AND(E656&lt;&gt;"",E656&lt;TODAY()),"OVERDUE",IF(AND(E656&lt;&gt;"",E656=TODAY()),"DUE TODAY",IF(AND(K656&lt;&gt;"",K656&lt;=TODAY()),"FOLLOW UP",IF(AND(E656&lt;&gt;"",E656&lt;=TODAY()+3),"DUE SOON",IF(E656="","NO DUE DATE",""))))))</f>
        <v/>
      </c>
      <c r="H656" s="45"/>
      <c r="I656" s="46"/>
      <c r="J656" s="45"/>
      <c r="K656" s="47"/>
      <c r="L656" s="47"/>
      <c r="M656" s="47"/>
      <c r="N656" s="45"/>
    </row>
    <row r="657" customFormat="false" ht="18" hidden="false" customHeight="true" outlineLevel="0" collapsed="false">
      <c r="A657" s="44" t="str">
        <f aca="false">IF(B657="","",ROW()-4)</f>
        <v/>
      </c>
      <c r="B657" s="45"/>
      <c r="C657" s="46"/>
      <c r="D657" s="46"/>
      <c r="E657" s="47"/>
      <c r="F657" s="44" t="str">
        <f aca="true">IF(OR(B657="",E657="",C657="Done",C657="Cancelled"),"",E657-TODAY())</f>
        <v/>
      </c>
      <c r="G657" s="48" t="str">
        <f aca="true">IF(OR(B657="",C657="Done",C657="Cancelled"),"",IF(AND(E657&lt;&gt;"",E657&lt;TODAY()),"OVERDUE",IF(AND(E657&lt;&gt;"",E657=TODAY()),"DUE TODAY",IF(AND(K657&lt;&gt;"",K657&lt;=TODAY()),"FOLLOW UP",IF(AND(E657&lt;&gt;"",E657&lt;=TODAY()+3),"DUE SOON",IF(E657="","NO DUE DATE",""))))))</f>
        <v/>
      </c>
      <c r="H657" s="45"/>
      <c r="I657" s="46"/>
      <c r="J657" s="45"/>
      <c r="K657" s="47"/>
      <c r="L657" s="47"/>
      <c r="M657" s="47"/>
      <c r="N657" s="45"/>
    </row>
    <row r="658" customFormat="false" ht="18" hidden="false" customHeight="true" outlineLevel="0" collapsed="false">
      <c r="A658" s="44" t="str">
        <f aca="false">IF(B658="","",ROW()-4)</f>
        <v/>
      </c>
      <c r="B658" s="45"/>
      <c r="C658" s="46"/>
      <c r="D658" s="46"/>
      <c r="E658" s="47"/>
      <c r="F658" s="44" t="str">
        <f aca="true">IF(OR(B658="",E658="",C658="Done",C658="Cancelled"),"",E658-TODAY())</f>
        <v/>
      </c>
      <c r="G658" s="48" t="str">
        <f aca="true">IF(OR(B658="",C658="Done",C658="Cancelled"),"",IF(AND(E658&lt;&gt;"",E658&lt;TODAY()),"OVERDUE",IF(AND(E658&lt;&gt;"",E658=TODAY()),"DUE TODAY",IF(AND(K658&lt;&gt;"",K658&lt;=TODAY()),"FOLLOW UP",IF(AND(E658&lt;&gt;"",E658&lt;=TODAY()+3),"DUE SOON",IF(E658="","NO DUE DATE",""))))))</f>
        <v/>
      </c>
      <c r="H658" s="45"/>
      <c r="I658" s="46"/>
      <c r="J658" s="45"/>
      <c r="K658" s="47"/>
      <c r="L658" s="47"/>
      <c r="M658" s="47"/>
      <c r="N658" s="45"/>
    </row>
    <row r="659" customFormat="false" ht="18" hidden="false" customHeight="true" outlineLevel="0" collapsed="false">
      <c r="A659" s="44" t="str">
        <f aca="false">IF(B659="","",ROW()-4)</f>
        <v/>
      </c>
      <c r="B659" s="45"/>
      <c r="C659" s="46"/>
      <c r="D659" s="46"/>
      <c r="E659" s="47"/>
      <c r="F659" s="44" t="str">
        <f aca="true">IF(OR(B659="",E659="",C659="Done",C659="Cancelled"),"",E659-TODAY())</f>
        <v/>
      </c>
      <c r="G659" s="48" t="str">
        <f aca="true">IF(OR(B659="",C659="Done",C659="Cancelled"),"",IF(AND(E659&lt;&gt;"",E659&lt;TODAY()),"OVERDUE",IF(AND(E659&lt;&gt;"",E659=TODAY()),"DUE TODAY",IF(AND(K659&lt;&gt;"",K659&lt;=TODAY()),"FOLLOW UP",IF(AND(E659&lt;&gt;"",E659&lt;=TODAY()+3),"DUE SOON",IF(E659="","NO DUE DATE",""))))))</f>
        <v/>
      </c>
      <c r="H659" s="45"/>
      <c r="I659" s="46"/>
      <c r="J659" s="45"/>
      <c r="K659" s="47"/>
      <c r="L659" s="47"/>
      <c r="M659" s="47"/>
      <c r="N659" s="45"/>
    </row>
    <row r="660" customFormat="false" ht="18" hidden="false" customHeight="true" outlineLevel="0" collapsed="false">
      <c r="A660" s="44" t="str">
        <f aca="false">IF(B660="","",ROW()-4)</f>
        <v/>
      </c>
      <c r="B660" s="45"/>
      <c r="C660" s="46"/>
      <c r="D660" s="46"/>
      <c r="E660" s="47"/>
      <c r="F660" s="44" t="str">
        <f aca="true">IF(OR(B660="",E660="",C660="Done",C660="Cancelled"),"",E660-TODAY())</f>
        <v/>
      </c>
      <c r="G660" s="48" t="str">
        <f aca="true">IF(OR(B660="",C660="Done",C660="Cancelled"),"",IF(AND(E660&lt;&gt;"",E660&lt;TODAY()),"OVERDUE",IF(AND(E660&lt;&gt;"",E660=TODAY()),"DUE TODAY",IF(AND(K660&lt;&gt;"",K660&lt;=TODAY()),"FOLLOW UP",IF(AND(E660&lt;&gt;"",E660&lt;=TODAY()+3),"DUE SOON",IF(E660="","NO DUE DATE",""))))))</f>
        <v/>
      </c>
      <c r="H660" s="45"/>
      <c r="I660" s="46"/>
      <c r="J660" s="45"/>
      <c r="K660" s="47"/>
      <c r="L660" s="47"/>
      <c r="M660" s="47"/>
      <c r="N660" s="45"/>
    </row>
    <row r="661" customFormat="false" ht="18" hidden="false" customHeight="true" outlineLevel="0" collapsed="false">
      <c r="A661" s="44" t="str">
        <f aca="false">IF(B661="","",ROW()-4)</f>
        <v/>
      </c>
      <c r="B661" s="45"/>
      <c r="C661" s="46"/>
      <c r="D661" s="46"/>
      <c r="E661" s="47"/>
      <c r="F661" s="44" t="str">
        <f aca="true">IF(OR(B661="",E661="",C661="Done",C661="Cancelled"),"",E661-TODAY())</f>
        <v/>
      </c>
      <c r="G661" s="48" t="str">
        <f aca="true">IF(OR(B661="",C661="Done",C661="Cancelled"),"",IF(AND(E661&lt;&gt;"",E661&lt;TODAY()),"OVERDUE",IF(AND(E661&lt;&gt;"",E661=TODAY()),"DUE TODAY",IF(AND(K661&lt;&gt;"",K661&lt;=TODAY()),"FOLLOW UP",IF(AND(E661&lt;&gt;"",E661&lt;=TODAY()+3),"DUE SOON",IF(E661="","NO DUE DATE",""))))))</f>
        <v/>
      </c>
      <c r="H661" s="45"/>
      <c r="I661" s="46"/>
      <c r="J661" s="45"/>
      <c r="K661" s="47"/>
      <c r="L661" s="47"/>
      <c r="M661" s="47"/>
      <c r="N661" s="45"/>
    </row>
    <row r="662" customFormat="false" ht="18" hidden="false" customHeight="true" outlineLevel="0" collapsed="false">
      <c r="A662" s="44" t="str">
        <f aca="false">IF(B662="","",ROW()-4)</f>
        <v/>
      </c>
      <c r="B662" s="45"/>
      <c r="C662" s="46"/>
      <c r="D662" s="46"/>
      <c r="E662" s="47"/>
      <c r="F662" s="44" t="str">
        <f aca="true">IF(OR(B662="",E662="",C662="Done",C662="Cancelled"),"",E662-TODAY())</f>
        <v/>
      </c>
      <c r="G662" s="48" t="str">
        <f aca="true">IF(OR(B662="",C662="Done",C662="Cancelled"),"",IF(AND(E662&lt;&gt;"",E662&lt;TODAY()),"OVERDUE",IF(AND(E662&lt;&gt;"",E662=TODAY()),"DUE TODAY",IF(AND(K662&lt;&gt;"",K662&lt;=TODAY()),"FOLLOW UP",IF(AND(E662&lt;&gt;"",E662&lt;=TODAY()+3),"DUE SOON",IF(E662="","NO DUE DATE",""))))))</f>
        <v/>
      </c>
      <c r="H662" s="45"/>
      <c r="I662" s="46"/>
      <c r="J662" s="45"/>
      <c r="K662" s="47"/>
      <c r="L662" s="47"/>
      <c r="M662" s="47"/>
      <c r="N662" s="45"/>
    </row>
    <row r="663" customFormat="false" ht="18" hidden="false" customHeight="true" outlineLevel="0" collapsed="false">
      <c r="A663" s="44" t="str">
        <f aca="false">IF(B663="","",ROW()-4)</f>
        <v/>
      </c>
      <c r="B663" s="45"/>
      <c r="C663" s="46"/>
      <c r="D663" s="46"/>
      <c r="E663" s="47"/>
      <c r="F663" s="44" t="str">
        <f aca="true">IF(OR(B663="",E663="",C663="Done",C663="Cancelled"),"",E663-TODAY())</f>
        <v/>
      </c>
      <c r="G663" s="48" t="str">
        <f aca="true">IF(OR(B663="",C663="Done",C663="Cancelled"),"",IF(AND(E663&lt;&gt;"",E663&lt;TODAY()),"OVERDUE",IF(AND(E663&lt;&gt;"",E663=TODAY()),"DUE TODAY",IF(AND(K663&lt;&gt;"",K663&lt;=TODAY()),"FOLLOW UP",IF(AND(E663&lt;&gt;"",E663&lt;=TODAY()+3),"DUE SOON",IF(E663="","NO DUE DATE",""))))))</f>
        <v/>
      </c>
      <c r="H663" s="45"/>
      <c r="I663" s="46"/>
      <c r="J663" s="45"/>
      <c r="K663" s="47"/>
      <c r="L663" s="47"/>
      <c r="M663" s="47"/>
      <c r="N663" s="45"/>
    </row>
    <row r="664" customFormat="false" ht="18" hidden="false" customHeight="true" outlineLevel="0" collapsed="false">
      <c r="A664" s="44" t="str">
        <f aca="false">IF(B664="","",ROW()-4)</f>
        <v/>
      </c>
      <c r="B664" s="45"/>
      <c r="C664" s="46"/>
      <c r="D664" s="46"/>
      <c r="E664" s="47"/>
      <c r="F664" s="44" t="str">
        <f aca="true">IF(OR(B664="",E664="",C664="Done",C664="Cancelled"),"",E664-TODAY())</f>
        <v/>
      </c>
      <c r="G664" s="48" t="str">
        <f aca="true">IF(OR(B664="",C664="Done",C664="Cancelled"),"",IF(AND(E664&lt;&gt;"",E664&lt;TODAY()),"OVERDUE",IF(AND(E664&lt;&gt;"",E664=TODAY()),"DUE TODAY",IF(AND(K664&lt;&gt;"",K664&lt;=TODAY()),"FOLLOW UP",IF(AND(E664&lt;&gt;"",E664&lt;=TODAY()+3),"DUE SOON",IF(E664="","NO DUE DATE",""))))))</f>
        <v/>
      </c>
      <c r="H664" s="45"/>
      <c r="I664" s="46"/>
      <c r="J664" s="45"/>
      <c r="K664" s="47"/>
      <c r="L664" s="47"/>
      <c r="M664" s="47"/>
      <c r="N664" s="45"/>
    </row>
    <row r="665" customFormat="false" ht="18" hidden="false" customHeight="true" outlineLevel="0" collapsed="false">
      <c r="A665" s="44" t="str">
        <f aca="false">IF(B665="","",ROW()-4)</f>
        <v/>
      </c>
      <c r="B665" s="45"/>
      <c r="C665" s="46"/>
      <c r="D665" s="46"/>
      <c r="E665" s="47"/>
      <c r="F665" s="44" t="str">
        <f aca="true">IF(OR(B665="",E665="",C665="Done",C665="Cancelled"),"",E665-TODAY())</f>
        <v/>
      </c>
      <c r="G665" s="48" t="str">
        <f aca="true">IF(OR(B665="",C665="Done",C665="Cancelled"),"",IF(AND(E665&lt;&gt;"",E665&lt;TODAY()),"OVERDUE",IF(AND(E665&lt;&gt;"",E665=TODAY()),"DUE TODAY",IF(AND(K665&lt;&gt;"",K665&lt;=TODAY()),"FOLLOW UP",IF(AND(E665&lt;&gt;"",E665&lt;=TODAY()+3),"DUE SOON",IF(E665="","NO DUE DATE",""))))))</f>
        <v/>
      </c>
      <c r="H665" s="45"/>
      <c r="I665" s="46"/>
      <c r="J665" s="45"/>
      <c r="K665" s="47"/>
      <c r="L665" s="47"/>
      <c r="M665" s="47"/>
      <c r="N665" s="45"/>
    </row>
    <row r="666" customFormat="false" ht="18" hidden="false" customHeight="true" outlineLevel="0" collapsed="false">
      <c r="A666" s="44" t="str">
        <f aca="false">IF(B666="","",ROW()-4)</f>
        <v/>
      </c>
      <c r="B666" s="45"/>
      <c r="C666" s="46"/>
      <c r="D666" s="46"/>
      <c r="E666" s="47"/>
      <c r="F666" s="44" t="str">
        <f aca="true">IF(OR(B666="",E666="",C666="Done",C666="Cancelled"),"",E666-TODAY())</f>
        <v/>
      </c>
      <c r="G666" s="48" t="str">
        <f aca="true">IF(OR(B666="",C666="Done",C666="Cancelled"),"",IF(AND(E666&lt;&gt;"",E666&lt;TODAY()),"OVERDUE",IF(AND(E666&lt;&gt;"",E666=TODAY()),"DUE TODAY",IF(AND(K666&lt;&gt;"",K666&lt;=TODAY()),"FOLLOW UP",IF(AND(E666&lt;&gt;"",E666&lt;=TODAY()+3),"DUE SOON",IF(E666="","NO DUE DATE",""))))))</f>
        <v/>
      </c>
      <c r="H666" s="45"/>
      <c r="I666" s="46"/>
      <c r="J666" s="45"/>
      <c r="K666" s="47"/>
      <c r="L666" s="47"/>
      <c r="M666" s="47"/>
      <c r="N666" s="45"/>
    </row>
    <row r="667" customFormat="false" ht="18" hidden="false" customHeight="true" outlineLevel="0" collapsed="false">
      <c r="A667" s="44" t="str">
        <f aca="false">IF(B667="","",ROW()-4)</f>
        <v/>
      </c>
      <c r="B667" s="45"/>
      <c r="C667" s="46"/>
      <c r="D667" s="46"/>
      <c r="E667" s="47"/>
      <c r="F667" s="44" t="str">
        <f aca="true">IF(OR(B667="",E667="",C667="Done",C667="Cancelled"),"",E667-TODAY())</f>
        <v/>
      </c>
      <c r="G667" s="48" t="str">
        <f aca="true">IF(OR(B667="",C667="Done",C667="Cancelled"),"",IF(AND(E667&lt;&gt;"",E667&lt;TODAY()),"OVERDUE",IF(AND(E667&lt;&gt;"",E667=TODAY()),"DUE TODAY",IF(AND(K667&lt;&gt;"",K667&lt;=TODAY()),"FOLLOW UP",IF(AND(E667&lt;&gt;"",E667&lt;=TODAY()+3),"DUE SOON",IF(E667="","NO DUE DATE",""))))))</f>
        <v/>
      </c>
      <c r="H667" s="45"/>
      <c r="I667" s="46"/>
      <c r="J667" s="45"/>
      <c r="K667" s="47"/>
      <c r="L667" s="47"/>
      <c r="M667" s="47"/>
      <c r="N667" s="45"/>
    </row>
    <row r="668" customFormat="false" ht="18" hidden="false" customHeight="true" outlineLevel="0" collapsed="false">
      <c r="A668" s="44" t="str">
        <f aca="false">IF(B668="","",ROW()-4)</f>
        <v/>
      </c>
      <c r="B668" s="45"/>
      <c r="C668" s="46"/>
      <c r="D668" s="46"/>
      <c r="E668" s="47"/>
      <c r="F668" s="44" t="str">
        <f aca="true">IF(OR(B668="",E668="",C668="Done",C668="Cancelled"),"",E668-TODAY())</f>
        <v/>
      </c>
      <c r="G668" s="48" t="str">
        <f aca="true">IF(OR(B668="",C668="Done",C668="Cancelled"),"",IF(AND(E668&lt;&gt;"",E668&lt;TODAY()),"OVERDUE",IF(AND(E668&lt;&gt;"",E668=TODAY()),"DUE TODAY",IF(AND(K668&lt;&gt;"",K668&lt;=TODAY()),"FOLLOW UP",IF(AND(E668&lt;&gt;"",E668&lt;=TODAY()+3),"DUE SOON",IF(E668="","NO DUE DATE",""))))))</f>
        <v/>
      </c>
      <c r="H668" s="45"/>
      <c r="I668" s="46"/>
      <c r="J668" s="45"/>
      <c r="K668" s="47"/>
      <c r="L668" s="47"/>
      <c r="M668" s="47"/>
      <c r="N668" s="45"/>
    </row>
    <row r="669" customFormat="false" ht="18" hidden="false" customHeight="true" outlineLevel="0" collapsed="false">
      <c r="A669" s="44" t="str">
        <f aca="false">IF(B669="","",ROW()-4)</f>
        <v/>
      </c>
      <c r="B669" s="45"/>
      <c r="C669" s="46"/>
      <c r="D669" s="46"/>
      <c r="E669" s="47"/>
      <c r="F669" s="44" t="str">
        <f aca="true">IF(OR(B669="",E669="",C669="Done",C669="Cancelled"),"",E669-TODAY())</f>
        <v/>
      </c>
      <c r="G669" s="48" t="str">
        <f aca="true">IF(OR(B669="",C669="Done",C669="Cancelled"),"",IF(AND(E669&lt;&gt;"",E669&lt;TODAY()),"OVERDUE",IF(AND(E669&lt;&gt;"",E669=TODAY()),"DUE TODAY",IF(AND(K669&lt;&gt;"",K669&lt;=TODAY()),"FOLLOW UP",IF(AND(E669&lt;&gt;"",E669&lt;=TODAY()+3),"DUE SOON",IF(E669="","NO DUE DATE",""))))))</f>
        <v/>
      </c>
      <c r="H669" s="45"/>
      <c r="I669" s="46"/>
      <c r="J669" s="45"/>
      <c r="K669" s="47"/>
      <c r="L669" s="47"/>
      <c r="M669" s="47"/>
      <c r="N669" s="45"/>
    </row>
    <row r="670" customFormat="false" ht="18" hidden="false" customHeight="true" outlineLevel="0" collapsed="false">
      <c r="A670" s="44" t="str">
        <f aca="false">IF(B670="","",ROW()-4)</f>
        <v/>
      </c>
      <c r="B670" s="45"/>
      <c r="C670" s="46"/>
      <c r="D670" s="46"/>
      <c r="E670" s="47"/>
      <c r="F670" s="44" t="str">
        <f aca="true">IF(OR(B670="",E670="",C670="Done",C670="Cancelled"),"",E670-TODAY())</f>
        <v/>
      </c>
      <c r="G670" s="48" t="str">
        <f aca="true">IF(OR(B670="",C670="Done",C670="Cancelled"),"",IF(AND(E670&lt;&gt;"",E670&lt;TODAY()),"OVERDUE",IF(AND(E670&lt;&gt;"",E670=TODAY()),"DUE TODAY",IF(AND(K670&lt;&gt;"",K670&lt;=TODAY()),"FOLLOW UP",IF(AND(E670&lt;&gt;"",E670&lt;=TODAY()+3),"DUE SOON",IF(E670="","NO DUE DATE",""))))))</f>
        <v/>
      </c>
      <c r="H670" s="45"/>
      <c r="I670" s="46"/>
      <c r="J670" s="45"/>
      <c r="K670" s="47"/>
      <c r="L670" s="47"/>
      <c r="M670" s="47"/>
      <c r="N670" s="45"/>
    </row>
    <row r="671" customFormat="false" ht="18" hidden="false" customHeight="true" outlineLevel="0" collapsed="false">
      <c r="A671" s="44" t="str">
        <f aca="false">IF(B671="","",ROW()-4)</f>
        <v/>
      </c>
      <c r="B671" s="45"/>
      <c r="C671" s="46"/>
      <c r="D671" s="46"/>
      <c r="E671" s="47"/>
      <c r="F671" s="44" t="str">
        <f aca="true">IF(OR(B671="",E671="",C671="Done",C671="Cancelled"),"",E671-TODAY())</f>
        <v/>
      </c>
      <c r="G671" s="48" t="str">
        <f aca="true">IF(OR(B671="",C671="Done",C671="Cancelled"),"",IF(AND(E671&lt;&gt;"",E671&lt;TODAY()),"OVERDUE",IF(AND(E671&lt;&gt;"",E671=TODAY()),"DUE TODAY",IF(AND(K671&lt;&gt;"",K671&lt;=TODAY()),"FOLLOW UP",IF(AND(E671&lt;&gt;"",E671&lt;=TODAY()+3),"DUE SOON",IF(E671="","NO DUE DATE",""))))))</f>
        <v/>
      </c>
      <c r="H671" s="45"/>
      <c r="I671" s="46"/>
      <c r="J671" s="45"/>
      <c r="K671" s="47"/>
      <c r="L671" s="47"/>
      <c r="M671" s="47"/>
      <c r="N671" s="45"/>
    </row>
    <row r="672" customFormat="false" ht="18" hidden="false" customHeight="true" outlineLevel="0" collapsed="false">
      <c r="A672" s="44" t="str">
        <f aca="false">IF(B672="","",ROW()-4)</f>
        <v/>
      </c>
      <c r="B672" s="45"/>
      <c r="C672" s="46"/>
      <c r="D672" s="46"/>
      <c r="E672" s="47"/>
      <c r="F672" s="44" t="str">
        <f aca="true">IF(OR(B672="",E672="",C672="Done",C672="Cancelled"),"",E672-TODAY())</f>
        <v/>
      </c>
      <c r="G672" s="48" t="str">
        <f aca="true">IF(OR(B672="",C672="Done",C672="Cancelled"),"",IF(AND(E672&lt;&gt;"",E672&lt;TODAY()),"OVERDUE",IF(AND(E672&lt;&gt;"",E672=TODAY()),"DUE TODAY",IF(AND(K672&lt;&gt;"",K672&lt;=TODAY()),"FOLLOW UP",IF(AND(E672&lt;&gt;"",E672&lt;=TODAY()+3),"DUE SOON",IF(E672="","NO DUE DATE",""))))))</f>
        <v/>
      </c>
      <c r="H672" s="45"/>
      <c r="I672" s="46"/>
      <c r="J672" s="45"/>
      <c r="K672" s="47"/>
      <c r="L672" s="47"/>
      <c r="M672" s="47"/>
      <c r="N672" s="45"/>
    </row>
    <row r="673" customFormat="false" ht="18" hidden="false" customHeight="true" outlineLevel="0" collapsed="false">
      <c r="A673" s="44" t="str">
        <f aca="false">IF(B673="","",ROW()-4)</f>
        <v/>
      </c>
      <c r="B673" s="45"/>
      <c r="C673" s="46"/>
      <c r="D673" s="46"/>
      <c r="E673" s="47"/>
      <c r="F673" s="44" t="str">
        <f aca="true">IF(OR(B673="",E673="",C673="Done",C673="Cancelled"),"",E673-TODAY())</f>
        <v/>
      </c>
      <c r="G673" s="48" t="str">
        <f aca="true">IF(OR(B673="",C673="Done",C673="Cancelled"),"",IF(AND(E673&lt;&gt;"",E673&lt;TODAY()),"OVERDUE",IF(AND(E673&lt;&gt;"",E673=TODAY()),"DUE TODAY",IF(AND(K673&lt;&gt;"",K673&lt;=TODAY()),"FOLLOW UP",IF(AND(E673&lt;&gt;"",E673&lt;=TODAY()+3),"DUE SOON",IF(E673="","NO DUE DATE",""))))))</f>
        <v/>
      </c>
      <c r="H673" s="45"/>
      <c r="I673" s="46"/>
      <c r="J673" s="45"/>
      <c r="K673" s="47"/>
      <c r="L673" s="47"/>
      <c r="M673" s="47"/>
      <c r="N673" s="45"/>
    </row>
    <row r="674" customFormat="false" ht="18" hidden="false" customHeight="true" outlineLevel="0" collapsed="false">
      <c r="A674" s="44" t="str">
        <f aca="false">IF(B674="","",ROW()-4)</f>
        <v/>
      </c>
      <c r="B674" s="45"/>
      <c r="C674" s="46"/>
      <c r="D674" s="46"/>
      <c r="E674" s="47"/>
      <c r="F674" s="44" t="str">
        <f aca="true">IF(OR(B674="",E674="",C674="Done",C674="Cancelled"),"",E674-TODAY())</f>
        <v/>
      </c>
      <c r="G674" s="48" t="str">
        <f aca="true">IF(OR(B674="",C674="Done",C674="Cancelled"),"",IF(AND(E674&lt;&gt;"",E674&lt;TODAY()),"OVERDUE",IF(AND(E674&lt;&gt;"",E674=TODAY()),"DUE TODAY",IF(AND(K674&lt;&gt;"",K674&lt;=TODAY()),"FOLLOW UP",IF(AND(E674&lt;&gt;"",E674&lt;=TODAY()+3),"DUE SOON",IF(E674="","NO DUE DATE",""))))))</f>
        <v/>
      </c>
      <c r="H674" s="45"/>
      <c r="I674" s="46"/>
      <c r="J674" s="45"/>
      <c r="K674" s="47"/>
      <c r="L674" s="47"/>
      <c r="M674" s="47"/>
      <c r="N674" s="45"/>
    </row>
    <row r="675" customFormat="false" ht="18" hidden="false" customHeight="true" outlineLevel="0" collapsed="false">
      <c r="A675" s="44" t="str">
        <f aca="false">IF(B675="","",ROW()-4)</f>
        <v/>
      </c>
      <c r="B675" s="45"/>
      <c r="C675" s="46"/>
      <c r="D675" s="46"/>
      <c r="E675" s="47"/>
      <c r="F675" s="44" t="str">
        <f aca="true">IF(OR(B675="",E675="",C675="Done",C675="Cancelled"),"",E675-TODAY())</f>
        <v/>
      </c>
      <c r="G675" s="48" t="str">
        <f aca="true">IF(OR(B675="",C675="Done",C675="Cancelled"),"",IF(AND(E675&lt;&gt;"",E675&lt;TODAY()),"OVERDUE",IF(AND(E675&lt;&gt;"",E675=TODAY()),"DUE TODAY",IF(AND(K675&lt;&gt;"",K675&lt;=TODAY()),"FOLLOW UP",IF(AND(E675&lt;&gt;"",E675&lt;=TODAY()+3),"DUE SOON",IF(E675="","NO DUE DATE",""))))))</f>
        <v/>
      </c>
      <c r="H675" s="45"/>
      <c r="I675" s="46"/>
      <c r="J675" s="45"/>
      <c r="K675" s="47"/>
      <c r="L675" s="47"/>
      <c r="M675" s="47"/>
      <c r="N675" s="45"/>
    </row>
    <row r="676" customFormat="false" ht="18" hidden="false" customHeight="true" outlineLevel="0" collapsed="false">
      <c r="A676" s="44" t="str">
        <f aca="false">IF(B676="","",ROW()-4)</f>
        <v/>
      </c>
      <c r="B676" s="45"/>
      <c r="C676" s="46"/>
      <c r="D676" s="46"/>
      <c r="E676" s="47"/>
      <c r="F676" s="44" t="str">
        <f aca="true">IF(OR(B676="",E676="",C676="Done",C676="Cancelled"),"",E676-TODAY())</f>
        <v/>
      </c>
      <c r="G676" s="48" t="str">
        <f aca="true">IF(OR(B676="",C676="Done",C676="Cancelled"),"",IF(AND(E676&lt;&gt;"",E676&lt;TODAY()),"OVERDUE",IF(AND(E676&lt;&gt;"",E676=TODAY()),"DUE TODAY",IF(AND(K676&lt;&gt;"",K676&lt;=TODAY()),"FOLLOW UP",IF(AND(E676&lt;&gt;"",E676&lt;=TODAY()+3),"DUE SOON",IF(E676="","NO DUE DATE",""))))))</f>
        <v/>
      </c>
      <c r="H676" s="45"/>
      <c r="I676" s="46"/>
      <c r="J676" s="45"/>
      <c r="K676" s="47"/>
      <c r="L676" s="47"/>
      <c r="M676" s="47"/>
      <c r="N676" s="45"/>
    </row>
    <row r="677" customFormat="false" ht="18" hidden="false" customHeight="true" outlineLevel="0" collapsed="false">
      <c r="A677" s="44" t="str">
        <f aca="false">IF(B677="","",ROW()-4)</f>
        <v/>
      </c>
      <c r="B677" s="45"/>
      <c r="C677" s="46"/>
      <c r="D677" s="46"/>
      <c r="E677" s="47"/>
      <c r="F677" s="44" t="str">
        <f aca="true">IF(OR(B677="",E677="",C677="Done",C677="Cancelled"),"",E677-TODAY())</f>
        <v/>
      </c>
      <c r="G677" s="48" t="str">
        <f aca="true">IF(OR(B677="",C677="Done",C677="Cancelled"),"",IF(AND(E677&lt;&gt;"",E677&lt;TODAY()),"OVERDUE",IF(AND(E677&lt;&gt;"",E677=TODAY()),"DUE TODAY",IF(AND(K677&lt;&gt;"",K677&lt;=TODAY()),"FOLLOW UP",IF(AND(E677&lt;&gt;"",E677&lt;=TODAY()+3),"DUE SOON",IF(E677="","NO DUE DATE",""))))))</f>
        <v/>
      </c>
      <c r="H677" s="45"/>
      <c r="I677" s="46"/>
      <c r="J677" s="45"/>
      <c r="K677" s="47"/>
      <c r="L677" s="47"/>
      <c r="M677" s="47"/>
      <c r="N677" s="45"/>
    </row>
    <row r="678" customFormat="false" ht="18" hidden="false" customHeight="true" outlineLevel="0" collapsed="false">
      <c r="A678" s="44" t="str">
        <f aca="false">IF(B678="","",ROW()-4)</f>
        <v/>
      </c>
      <c r="B678" s="45"/>
      <c r="C678" s="46"/>
      <c r="D678" s="46"/>
      <c r="E678" s="47"/>
      <c r="F678" s="44" t="str">
        <f aca="true">IF(OR(B678="",E678="",C678="Done",C678="Cancelled"),"",E678-TODAY())</f>
        <v/>
      </c>
      <c r="G678" s="48" t="str">
        <f aca="true">IF(OR(B678="",C678="Done",C678="Cancelled"),"",IF(AND(E678&lt;&gt;"",E678&lt;TODAY()),"OVERDUE",IF(AND(E678&lt;&gt;"",E678=TODAY()),"DUE TODAY",IF(AND(K678&lt;&gt;"",K678&lt;=TODAY()),"FOLLOW UP",IF(AND(E678&lt;&gt;"",E678&lt;=TODAY()+3),"DUE SOON",IF(E678="","NO DUE DATE",""))))))</f>
        <v/>
      </c>
      <c r="H678" s="45"/>
      <c r="I678" s="46"/>
      <c r="J678" s="45"/>
      <c r="K678" s="47"/>
      <c r="L678" s="47"/>
      <c r="M678" s="47"/>
      <c r="N678" s="45"/>
    </row>
    <row r="679" customFormat="false" ht="18" hidden="false" customHeight="true" outlineLevel="0" collapsed="false">
      <c r="A679" s="44" t="str">
        <f aca="false">IF(B679="","",ROW()-4)</f>
        <v/>
      </c>
      <c r="B679" s="45"/>
      <c r="C679" s="46"/>
      <c r="D679" s="46"/>
      <c r="E679" s="47"/>
      <c r="F679" s="44" t="str">
        <f aca="true">IF(OR(B679="",E679="",C679="Done",C679="Cancelled"),"",E679-TODAY())</f>
        <v/>
      </c>
      <c r="G679" s="48" t="str">
        <f aca="true">IF(OR(B679="",C679="Done",C679="Cancelled"),"",IF(AND(E679&lt;&gt;"",E679&lt;TODAY()),"OVERDUE",IF(AND(E679&lt;&gt;"",E679=TODAY()),"DUE TODAY",IF(AND(K679&lt;&gt;"",K679&lt;=TODAY()),"FOLLOW UP",IF(AND(E679&lt;&gt;"",E679&lt;=TODAY()+3),"DUE SOON",IF(E679="","NO DUE DATE",""))))))</f>
        <v/>
      </c>
      <c r="H679" s="45"/>
      <c r="I679" s="46"/>
      <c r="J679" s="45"/>
      <c r="K679" s="47"/>
      <c r="L679" s="47"/>
      <c r="M679" s="47"/>
      <c r="N679" s="45"/>
    </row>
    <row r="680" customFormat="false" ht="18" hidden="false" customHeight="true" outlineLevel="0" collapsed="false">
      <c r="A680" s="44" t="str">
        <f aca="false">IF(B680="","",ROW()-4)</f>
        <v/>
      </c>
      <c r="B680" s="45"/>
      <c r="C680" s="46"/>
      <c r="D680" s="46"/>
      <c r="E680" s="47"/>
      <c r="F680" s="44" t="str">
        <f aca="true">IF(OR(B680="",E680="",C680="Done",C680="Cancelled"),"",E680-TODAY())</f>
        <v/>
      </c>
      <c r="G680" s="48" t="str">
        <f aca="true">IF(OR(B680="",C680="Done",C680="Cancelled"),"",IF(AND(E680&lt;&gt;"",E680&lt;TODAY()),"OVERDUE",IF(AND(E680&lt;&gt;"",E680=TODAY()),"DUE TODAY",IF(AND(K680&lt;&gt;"",K680&lt;=TODAY()),"FOLLOW UP",IF(AND(E680&lt;&gt;"",E680&lt;=TODAY()+3),"DUE SOON",IF(E680="","NO DUE DATE",""))))))</f>
        <v/>
      </c>
      <c r="H680" s="45"/>
      <c r="I680" s="46"/>
      <c r="J680" s="45"/>
      <c r="K680" s="47"/>
      <c r="L680" s="47"/>
      <c r="M680" s="47"/>
      <c r="N680" s="45"/>
    </row>
    <row r="681" customFormat="false" ht="18" hidden="false" customHeight="true" outlineLevel="0" collapsed="false">
      <c r="A681" s="44" t="str">
        <f aca="false">IF(B681="","",ROW()-4)</f>
        <v/>
      </c>
      <c r="B681" s="45"/>
      <c r="C681" s="46"/>
      <c r="D681" s="46"/>
      <c r="E681" s="47"/>
      <c r="F681" s="44" t="str">
        <f aca="true">IF(OR(B681="",E681="",C681="Done",C681="Cancelled"),"",E681-TODAY())</f>
        <v/>
      </c>
      <c r="G681" s="48" t="str">
        <f aca="true">IF(OR(B681="",C681="Done",C681="Cancelled"),"",IF(AND(E681&lt;&gt;"",E681&lt;TODAY()),"OVERDUE",IF(AND(E681&lt;&gt;"",E681=TODAY()),"DUE TODAY",IF(AND(K681&lt;&gt;"",K681&lt;=TODAY()),"FOLLOW UP",IF(AND(E681&lt;&gt;"",E681&lt;=TODAY()+3),"DUE SOON",IF(E681="","NO DUE DATE",""))))))</f>
        <v/>
      </c>
      <c r="H681" s="45"/>
      <c r="I681" s="46"/>
      <c r="J681" s="45"/>
      <c r="K681" s="47"/>
      <c r="L681" s="47"/>
      <c r="M681" s="47"/>
      <c r="N681" s="45"/>
    </row>
    <row r="682" customFormat="false" ht="18" hidden="false" customHeight="true" outlineLevel="0" collapsed="false">
      <c r="A682" s="44" t="str">
        <f aca="false">IF(B682="","",ROW()-4)</f>
        <v/>
      </c>
      <c r="B682" s="45"/>
      <c r="C682" s="46"/>
      <c r="D682" s="46"/>
      <c r="E682" s="47"/>
      <c r="F682" s="44" t="str">
        <f aca="true">IF(OR(B682="",E682="",C682="Done",C682="Cancelled"),"",E682-TODAY())</f>
        <v/>
      </c>
      <c r="G682" s="48" t="str">
        <f aca="true">IF(OR(B682="",C682="Done",C682="Cancelled"),"",IF(AND(E682&lt;&gt;"",E682&lt;TODAY()),"OVERDUE",IF(AND(E682&lt;&gt;"",E682=TODAY()),"DUE TODAY",IF(AND(K682&lt;&gt;"",K682&lt;=TODAY()),"FOLLOW UP",IF(AND(E682&lt;&gt;"",E682&lt;=TODAY()+3),"DUE SOON",IF(E682="","NO DUE DATE",""))))))</f>
        <v/>
      </c>
      <c r="H682" s="45"/>
      <c r="I682" s="46"/>
      <c r="J682" s="45"/>
      <c r="K682" s="47"/>
      <c r="L682" s="47"/>
      <c r="M682" s="47"/>
      <c r="N682" s="45"/>
    </row>
    <row r="683" customFormat="false" ht="18" hidden="false" customHeight="true" outlineLevel="0" collapsed="false">
      <c r="A683" s="44" t="str">
        <f aca="false">IF(B683="","",ROW()-4)</f>
        <v/>
      </c>
      <c r="B683" s="45"/>
      <c r="C683" s="46"/>
      <c r="D683" s="46"/>
      <c r="E683" s="47"/>
      <c r="F683" s="44" t="str">
        <f aca="true">IF(OR(B683="",E683="",C683="Done",C683="Cancelled"),"",E683-TODAY())</f>
        <v/>
      </c>
      <c r="G683" s="48" t="str">
        <f aca="true">IF(OR(B683="",C683="Done",C683="Cancelled"),"",IF(AND(E683&lt;&gt;"",E683&lt;TODAY()),"OVERDUE",IF(AND(E683&lt;&gt;"",E683=TODAY()),"DUE TODAY",IF(AND(K683&lt;&gt;"",K683&lt;=TODAY()),"FOLLOW UP",IF(AND(E683&lt;&gt;"",E683&lt;=TODAY()+3),"DUE SOON",IF(E683="","NO DUE DATE",""))))))</f>
        <v/>
      </c>
      <c r="H683" s="45"/>
      <c r="I683" s="46"/>
      <c r="J683" s="45"/>
      <c r="K683" s="47"/>
      <c r="L683" s="47"/>
      <c r="M683" s="47"/>
      <c r="N683" s="45"/>
    </row>
    <row r="684" customFormat="false" ht="18" hidden="false" customHeight="true" outlineLevel="0" collapsed="false">
      <c r="A684" s="44" t="str">
        <f aca="false">IF(B684="","",ROW()-4)</f>
        <v/>
      </c>
      <c r="B684" s="45"/>
      <c r="C684" s="46"/>
      <c r="D684" s="46"/>
      <c r="E684" s="47"/>
      <c r="F684" s="44" t="str">
        <f aca="true">IF(OR(B684="",E684="",C684="Done",C684="Cancelled"),"",E684-TODAY())</f>
        <v/>
      </c>
      <c r="G684" s="48" t="str">
        <f aca="true">IF(OR(B684="",C684="Done",C684="Cancelled"),"",IF(AND(E684&lt;&gt;"",E684&lt;TODAY()),"OVERDUE",IF(AND(E684&lt;&gt;"",E684=TODAY()),"DUE TODAY",IF(AND(K684&lt;&gt;"",K684&lt;=TODAY()),"FOLLOW UP",IF(AND(E684&lt;&gt;"",E684&lt;=TODAY()+3),"DUE SOON",IF(E684="","NO DUE DATE",""))))))</f>
        <v/>
      </c>
      <c r="H684" s="45"/>
      <c r="I684" s="46"/>
      <c r="J684" s="45"/>
      <c r="K684" s="47"/>
      <c r="L684" s="47"/>
      <c r="M684" s="47"/>
      <c r="N684" s="45"/>
    </row>
    <row r="685" customFormat="false" ht="18" hidden="false" customHeight="true" outlineLevel="0" collapsed="false">
      <c r="A685" s="44" t="str">
        <f aca="false">IF(B685="","",ROW()-4)</f>
        <v/>
      </c>
      <c r="B685" s="45"/>
      <c r="C685" s="46"/>
      <c r="D685" s="46"/>
      <c r="E685" s="47"/>
      <c r="F685" s="44" t="str">
        <f aca="true">IF(OR(B685="",E685="",C685="Done",C685="Cancelled"),"",E685-TODAY())</f>
        <v/>
      </c>
      <c r="G685" s="48" t="str">
        <f aca="true">IF(OR(B685="",C685="Done",C685="Cancelled"),"",IF(AND(E685&lt;&gt;"",E685&lt;TODAY()),"OVERDUE",IF(AND(E685&lt;&gt;"",E685=TODAY()),"DUE TODAY",IF(AND(K685&lt;&gt;"",K685&lt;=TODAY()),"FOLLOW UP",IF(AND(E685&lt;&gt;"",E685&lt;=TODAY()+3),"DUE SOON",IF(E685="","NO DUE DATE",""))))))</f>
        <v/>
      </c>
      <c r="H685" s="45"/>
      <c r="I685" s="46"/>
      <c r="J685" s="45"/>
      <c r="K685" s="47"/>
      <c r="L685" s="47"/>
      <c r="M685" s="47"/>
      <c r="N685" s="45"/>
    </row>
    <row r="686" customFormat="false" ht="18" hidden="false" customHeight="true" outlineLevel="0" collapsed="false">
      <c r="A686" s="44" t="str">
        <f aca="false">IF(B686="","",ROW()-4)</f>
        <v/>
      </c>
      <c r="B686" s="45"/>
      <c r="C686" s="46"/>
      <c r="D686" s="46"/>
      <c r="E686" s="47"/>
      <c r="F686" s="44" t="str">
        <f aca="true">IF(OR(B686="",E686="",C686="Done",C686="Cancelled"),"",E686-TODAY())</f>
        <v/>
      </c>
      <c r="G686" s="48" t="str">
        <f aca="true">IF(OR(B686="",C686="Done",C686="Cancelled"),"",IF(AND(E686&lt;&gt;"",E686&lt;TODAY()),"OVERDUE",IF(AND(E686&lt;&gt;"",E686=TODAY()),"DUE TODAY",IF(AND(K686&lt;&gt;"",K686&lt;=TODAY()),"FOLLOW UP",IF(AND(E686&lt;&gt;"",E686&lt;=TODAY()+3),"DUE SOON",IF(E686="","NO DUE DATE",""))))))</f>
        <v/>
      </c>
      <c r="H686" s="45"/>
      <c r="I686" s="46"/>
      <c r="J686" s="45"/>
      <c r="K686" s="47"/>
      <c r="L686" s="47"/>
      <c r="M686" s="47"/>
      <c r="N686" s="45"/>
    </row>
    <row r="687" customFormat="false" ht="18" hidden="false" customHeight="true" outlineLevel="0" collapsed="false">
      <c r="A687" s="44" t="str">
        <f aca="false">IF(B687="","",ROW()-4)</f>
        <v/>
      </c>
      <c r="B687" s="45"/>
      <c r="C687" s="46"/>
      <c r="D687" s="46"/>
      <c r="E687" s="47"/>
      <c r="F687" s="44" t="str">
        <f aca="true">IF(OR(B687="",E687="",C687="Done",C687="Cancelled"),"",E687-TODAY())</f>
        <v/>
      </c>
      <c r="G687" s="48" t="str">
        <f aca="true">IF(OR(B687="",C687="Done",C687="Cancelled"),"",IF(AND(E687&lt;&gt;"",E687&lt;TODAY()),"OVERDUE",IF(AND(E687&lt;&gt;"",E687=TODAY()),"DUE TODAY",IF(AND(K687&lt;&gt;"",K687&lt;=TODAY()),"FOLLOW UP",IF(AND(E687&lt;&gt;"",E687&lt;=TODAY()+3),"DUE SOON",IF(E687="","NO DUE DATE",""))))))</f>
        <v/>
      </c>
      <c r="H687" s="45"/>
      <c r="I687" s="46"/>
      <c r="J687" s="45"/>
      <c r="K687" s="47"/>
      <c r="L687" s="47"/>
      <c r="M687" s="47"/>
      <c r="N687" s="45"/>
    </row>
    <row r="688" customFormat="false" ht="18" hidden="false" customHeight="true" outlineLevel="0" collapsed="false">
      <c r="A688" s="44" t="str">
        <f aca="false">IF(B688="","",ROW()-4)</f>
        <v/>
      </c>
      <c r="B688" s="45"/>
      <c r="C688" s="46"/>
      <c r="D688" s="46"/>
      <c r="E688" s="47"/>
      <c r="F688" s="44" t="str">
        <f aca="true">IF(OR(B688="",E688="",C688="Done",C688="Cancelled"),"",E688-TODAY())</f>
        <v/>
      </c>
      <c r="G688" s="48" t="str">
        <f aca="true">IF(OR(B688="",C688="Done",C688="Cancelled"),"",IF(AND(E688&lt;&gt;"",E688&lt;TODAY()),"OVERDUE",IF(AND(E688&lt;&gt;"",E688=TODAY()),"DUE TODAY",IF(AND(K688&lt;&gt;"",K688&lt;=TODAY()),"FOLLOW UP",IF(AND(E688&lt;&gt;"",E688&lt;=TODAY()+3),"DUE SOON",IF(E688="","NO DUE DATE",""))))))</f>
        <v/>
      </c>
      <c r="H688" s="45"/>
      <c r="I688" s="46"/>
      <c r="J688" s="45"/>
      <c r="K688" s="47"/>
      <c r="L688" s="47"/>
      <c r="M688" s="47"/>
      <c r="N688" s="45"/>
    </row>
    <row r="689" customFormat="false" ht="18" hidden="false" customHeight="true" outlineLevel="0" collapsed="false">
      <c r="A689" s="44" t="str">
        <f aca="false">IF(B689="","",ROW()-4)</f>
        <v/>
      </c>
      <c r="B689" s="45"/>
      <c r="C689" s="46"/>
      <c r="D689" s="46"/>
      <c r="E689" s="47"/>
      <c r="F689" s="44" t="str">
        <f aca="true">IF(OR(B689="",E689="",C689="Done",C689="Cancelled"),"",E689-TODAY())</f>
        <v/>
      </c>
      <c r="G689" s="48" t="str">
        <f aca="true">IF(OR(B689="",C689="Done",C689="Cancelled"),"",IF(AND(E689&lt;&gt;"",E689&lt;TODAY()),"OVERDUE",IF(AND(E689&lt;&gt;"",E689=TODAY()),"DUE TODAY",IF(AND(K689&lt;&gt;"",K689&lt;=TODAY()),"FOLLOW UP",IF(AND(E689&lt;&gt;"",E689&lt;=TODAY()+3),"DUE SOON",IF(E689="","NO DUE DATE",""))))))</f>
        <v/>
      </c>
      <c r="H689" s="45"/>
      <c r="I689" s="46"/>
      <c r="J689" s="45"/>
      <c r="K689" s="47"/>
      <c r="L689" s="47"/>
      <c r="M689" s="47"/>
      <c r="N689" s="45"/>
    </row>
    <row r="690" customFormat="false" ht="18" hidden="false" customHeight="true" outlineLevel="0" collapsed="false">
      <c r="A690" s="44" t="str">
        <f aca="false">IF(B690="","",ROW()-4)</f>
        <v/>
      </c>
      <c r="B690" s="45"/>
      <c r="C690" s="46"/>
      <c r="D690" s="46"/>
      <c r="E690" s="47"/>
      <c r="F690" s="44" t="str">
        <f aca="true">IF(OR(B690="",E690="",C690="Done",C690="Cancelled"),"",E690-TODAY())</f>
        <v/>
      </c>
      <c r="G690" s="48" t="str">
        <f aca="true">IF(OR(B690="",C690="Done",C690="Cancelled"),"",IF(AND(E690&lt;&gt;"",E690&lt;TODAY()),"OVERDUE",IF(AND(E690&lt;&gt;"",E690=TODAY()),"DUE TODAY",IF(AND(K690&lt;&gt;"",K690&lt;=TODAY()),"FOLLOW UP",IF(AND(E690&lt;&gt;"",E690&lt;=TODAY()+3),"DUE SOON",IF(E690="","NO DUE DATE",""))))))</f>
        <v/>
      </c>
      <c r="H690" s="45"/>
      <c r="I690" s="46"/>
      <c r="J690" s="45"/>
      <c r="K690" s="47"/>
      <c r="L690" s="47"/>
      <c r="M690" s="47"/>
      <c r="N690" s="45"/>
    </row>
    <row r="691" customFormat="false" ht="18" hidden="false" customHeight="true" outlineLevel="0" collapsed="false">
      <c r="A691" s="44" t="str">
        <f aca="false">IF(B691="","",ROW()-4)</f>
        <v/>
      </c>
      <c r="B691" s="45"/>
      <c r="C691" s="46"/>
      <c r="D691" s="46"/>
      <c r="E691" s="47"/>
      <c r="F691" s="44" t="str">
        <f aca="true">IF(OR(B691="",E691="",C691="Done",C691="Cancelled"),"",E691-TODAY())</f>
        <v/>
      </c>
      <c r="G691" s="48" t="str">
        <f aca="true">IF(OR(B691="",C691="Done",C691="Cancelled"),"",IF(AND(E691&lt;&gt;"",E691&lt;TODAY()),"OVERDUE",IF(AND(E691&lt;&gt;"",E691=TODAY()),"DUE TODAY",IF(AND(K691&lt;&gt;"",K691&lt;=TODAY()),"FOLLOW UP",IF(AND(E691&lt;&gt;"",E691&lt;=TODAY()+3),"DUE SOON",IF(E691="","NO DUE DATE",""))))))</f>
        <v/>
      </c>
      <c r="H691" s="45"/>
      <c r="I691" s="46"/>
      <c r="J691" s="45"/>
      <c r="K691" s="47"/>
      <c r="L691" s="47"/>
      <c r="M691" s="47"/>
      <c r="N691" s="45"/>
    </row>
    <row r="692" customFormat="false" ht="18" hidden="false" customHeight="true" outlineLevel="0" collapsed="false">
      <c r="A692" s="44" t="str">
        <f aca="false">IF(B692="","",ROW()-4)</f>
        <v/>
      </c>
      <c r="B692" s="45"/>
      <c r="C692" s="46"/>
      <c r="D692" s="46"/>
      <c r="E692" s="47"/>
      <c r="F692" s="44" t="str">
        <f aca="true">IF(OR(B692="",E692="",C692="Done",C692="Cancelled"),"",E692-TODAY())</f>
        <v/>
      </c>
      <c r="G692" s="48" t="str">
        <f aca="true">IF(OR(B692="",C692="Done",C692="Cancelled"),"",IF(AND(E692&lt;&gt;"",E692&lt;TODAY()),"OVERDUE",IF(AND(E692&lt;&gt;"",E692=TODAY()),"DUE TODAY",IF(AND(K692&lt;&gt;"",K692&lt;=TODAY()),"FOLLOW UP",IF(AND(E692&lt;&gt;"",E692&lt;=TODAY()+3),"DUE SOON",IF(E692="","NO DUE DATE",""))))))</f>
        <v/>
      </c>
      <c r="H692" s="45"/>
      <c r="I692" s="46"/>
      <c r="J692" s="45"/>
      <c r="K692" s="47"/>
      <c r="L692" s="47"/>
      <c r="M692" s="47"/>
      <c r="N692" s="45"/>
    </row>
    <row r="693" customFormat="false" ht="18" hidden="false" customHeight="true" outlineLevel="0" collapsed="false">
      <c r="A693" s="44" t="str">
        <f aca="false">IF(B693="","",ROW()-4)</f>
        <v/>
      </c>
      <c r="B693" s="45"/>
      <c r="C693" s="46"/>
      <c r="D693" s="46"/>
      <c r="E693" s="47"/>
      <c r="F693" s="44" t="str">
        <f aca="true">IF(OR(B693="",E693="",C693="Done",C693="Cancelled"),"",E693-TODAY())</f>
        <v/>
      </c>
      <c r="G693" s="48" t="str">
        <f aca="true">IF(OR(B693="",C693="Done",C693="Cancelled"),"",IF(AND(E693&lt;&gt;"",E693&lt;TODAY()),"OVERDUE",IF(AND(E693&lt;&gt;"",E693=TODAY()),"DUE TODAY",IF(AND(K693&lt;&gt;"",K693&lt;=TODAY()),"FOLLOW UP",IF(AND(E693&lt;&gt;"",E693&lt;=TODAY()+3),"DUE SOON",IF(E693="","NO DUE DATE",""))))))</f>
        <v/>
      </c>
      <c r="H693" s="45"/>
      <c r="I693" s="46"/>
      <c r="J693" s="45"/>
      <c r="K693" s="47"/>
      <c r="L693" s="47"/>
      <c r="M693" s="47"/>
      <c r="N693" s="45"/>
    </row>
    <row r="694" customFormat="false" ht="18" hidden="false" customHeight="true" outlineLevel="0" collapsed="false">
      <c r="A694" s="44" t="str">
        <f aca="false">IF(B694="","",ROW()-4)</f>
        <v/>
      </c>
      <c r="B694" s="45"/>
      <c r="C694" s="46"/>
      <c r="D694" s="46"/>
      <c r="E694" s="47"/>
      <c r="F694" s="44" t="str">
        <f aca="true">IF(OR(B694="",E694="",C694="Done",C694="Cancelled"),"",E694-TODAY())</f>
        <v/>
      </c>
      <c r="G694" s="48" t="str">
        <f aca="true">IF(OR(B694="",C694="Done",C694="Cancelled"),"",IF(AND(E694&lt;&gt;"",E694&lt;TODAY()),"OVERDUE",IF(AND(E694&lt;&gt;"",E694=TODAY()),"DUE TODAY",IF(AND(K694&lt;&gt;"",K694&lt;=TODAY()),"FOLLOW UP",IF(AND(E694&lt;&gt;"",E694&lt;=TODAY()+3),"DUE SOON",IF(E694="","NO DUE DATE",""))))))</f>
        <v/>
      </c>
      <c r="H694" s="45"/>
      <c r="I694" s="46"/>
      <c r="J694" s="45"/>
      <c r="K694" s="47"/>
      <c r="L694" s="47"/>
      <c r="M694" s="47"/>
      <c r="N694" s="45"/>
    </row>
    <row r="695" customFormat="false" ht="18" hidden="false" customHeight="true" outlineLevel="0" collapsed="false">
      <c r="A695" s="44" t="str">
        <f aca="false">IF(B695="","",ROW()-4)</f>
        <v/>
      </c>
      <c r="B695" s="45"/>
      <c r="C695" s="46"/>
      <c r="D695" s="46"/>
      <c r="E695" s="47"/>
      <c r="F695" s="44" t="str">
        <f aca="true">IF(OR(B695="",E695="",C695="Done",C695="Cancelled"),"",E695-TODAY())</f>
        <v/>
      </c>
      <c r="G695" s="48" t="str">
        <f aca="true">IF(OR(B695="",C695="Done",C695="Cancelled"),"",IF(AND(E695&lt;&gt;"",E695&lt;TODAY()),"OVERDUE",IF(AND(E695&lt;&gt;"",E695=TODAY()),"DUE TODAY",IF(AND(K695&lt;&gt;"",K695&lt;=TODAY()),"FOLLOW UP",IF(AND(E695&lt;&gt;"",E695&lt;=TODAY()+3),"DUE SOON",IF(E695="","NO DUE DATE",""))))))</f>
        <v/>
      </c>
      <c r="H695" s="45"/>
      <c r="I695" s="46"/>
      <c r="J695" s="45"/>
      <c r="K695" s="47"/>
      <c r="L695" s="47"/>
      <c r="M695" s="47"/>
      <c r="N695" s="45"/>
    </row>
    <row r="696" customFormat="false" ht="18" hidden="false" customHeight="true" outlineLevel="0" collapsed="false">
      <c r="A696" s="44" t="str">
        <f aca="false">IF(B696="","",ROW()-4)</f>
        <v/>
      </c>
      <c r="B696" s="45"/>
      <c r="C696" s="46"/>
      <c r="D696" s="46"/>
      <c r="E696" s="47"/>
      <c r="F696" s="44" t="str">
        <f aca="true">IF(OR(B696="",E696="",C696="Done",C696="Cancelled"),"",E696-TODAY())</f>
        <v/>
      </c>
      <c r="G696" s="48" t="str">
        <f aca="true">IF(OR(B696="",C696="Done",C696="Cancelled"),"",IF(AND(E696&lt;&gt;"",E696&lt;TODAY()),"OVERDUE",IF(AND(E696&lt;&gt;"",E696=TODAY()),"DUE TODAY",IF(AND(K696&lt;&gt;"",K696&lt;=TODAY()),"FOLLOW UP",IF(AND(E696&lt;&gt;"",E696&lt;=TODAY()+3),"DUE SOON",IF(E696="","NO DUE DATE",""))))))</f>
        <v/>
      </c>
      <c r="H696" s="45"/>
      <c r="I696" s="46"/>
      <c r="J696" s="45"/>
      <c r="K696" s="47"/>
      <c r="L696" s="47"/>
      <c r="M696" s="47"/>
      <c r="N696" s="45"/>
    </row>
    <row r="697" customFormat="false" ht="18" hidden="false" customHeight="true" outlineLevel="0" collapsed="false">
      <c r="A697" s="44" t="str">
        <f aca="false">IF(B697="","",ROW()-4)</f>
        <v/>
      </c>
      <c r="B697" s="45"/>
      <c r="C697" s="46"/>
      <c r="D697" s="46"/>
      <c r="E697" s="47"/>
      <c r="F697" s="44" t="str">
        <f aca="true">IF(OR(B697="",E697="",C697="Done",C697="Cancelled"),"",E697-TODAY())</f>
        <v/>
      </c>
      <c r="G697" s="48" t="str">
        <f aca="true">IF(OR(B697="",C697="Done",C697="Cancelled"),"",IF(AND(E697&lt;&gt;"",E697&lt;TODAY()),"OVERDUE",IF(AND(E697&lt;&gt;"",E697=TODAY()),"DUE TODAY",IF(AND(K697&lt;&gt;"",K697&lt;=TODAY()),"FOLLOW UP",IF(AND(E697&lt;&gt;"",E697&lt;=TODAY()+3),"DUE SOON",IF(E697="","NO DUE DATE",""))))))</f>
        <v/>
      </c>
      <c r="H697" s="45"/>
      <c r="I697" s="46"/>
      <c r="J697" s="45"/>
      <c r="K697" s="47"/>
      <c r="L697" s="47"/>
      <c r="M697" s="47"/>
      <c r="N697" s="45"/>
    </row>
    <row r="698" customFormat="false" ht="18" hidden="false" customHeight="true" outlineLevel="0" collapsed="false">
      <c r="A698" s="44" t="str">
        <f aca="false">IF(B698="","",ROW()-4)</f>
        <v/>
      </c>
      <c r="B698" s="45"/>
      <c r="C698" s="46"/>
      <c r="D698" s="46"/>
      <c r="E698" s="47"/>
      <c r="F698" s="44" t="str">
        <f aca="true">IF(OR(B698="",E698="",C698="Done",C698="Cancelled"),"",E698-TODAY())</f>
        <v/>
      </c>
      <c r="G698" s="48" t="str">
        <f aca="true">IF(OR(B698="",C698="Done",C698="Cancelled"),"",IF(AND(E698&lt;&gt;"",E698&lt;TODAY()),"OVERDUE",IF(AND(E698&lt;&gt;"",E698=TODAY()),"DUE TODAY",IF(AND(K698&lt;&gt;"",K698&lt;=TODAY()),"FOLLOW UP",IF(AND(E698&lt;&gt;"",E698&lt;=TODAY()+3),"DUE SOON",IF(E698="","NO DUE DATE",""))))))</f>
        <v/>
      </c>
      <c r="H698" s="45"/>
      <c r="I698" s="46"/>
      <c r="J698" s="45"/>
      <c r="K698" s="47"/>
      <c r="L698" s="47"/>
      <c r="M698" s="47"/>
      <c r="N698" s="45"/>
    </row>
    <row r="699" customFormat="false" ht="18" hidden="false" customHeight="true" outlineLevel="0" collapsed="false">
      <c r="A699" s="44" t="str">
        <f aca="false">IF(B699="","",ROW()-4)</f>
        <v/>
      </c>
      <c r="B699" s="45"/>
      <c r="C699" s="46"/>
      <c r="D699" s="46"/>
      <c r="E699" s="47"/>
      <c r="F699" s="44" t="str">
        <f aca="true">IF(OR(B699="",E699="",C699="Done",C699="Cancelled"),"",E699-TODAY())</f>
        <v/>
      </c>
      <c r="G699" s="48" t="str">
        <f aca="true">IF(OR(B699="",C699="Done",C699="Cancelled"),"",IF(AND(E699&lt;&gt;"",E699&lt;TODAY()),"OVERDUE",IF(AND(E699&lt;&gt;"",E699=TODAY()),"DUE TODAY",IF(AND(K699&lt;&gt;"",K699&lt;=TODAY()),"FOLLOW UP",IF(AND(E699&lt;&gt;"",E699&lt;=TODAY()+3),"DUE SOON",IF(E699="","NO DUE DATE",""))))))</f>
        <v/>
      </c>
      <c r="H699" s="45"/>
      <c r="I699" s="46"/>
      <c r="J699" s="45"/>
      <c r="K699" s="47"/>
      <c r="L699" s="47"/>
      <c r="M699" s="47"/>
      <c r="N699" s="45"/>
    </row>
    <row r="700" customFormat="false" ht="18" hidden="false" customHeight="true" outlineLevel="0" collapsed="false">
      <c r="A700" s="44" t="str">
        <f aca="false">IF(B700="","",ROW()-4)</f>
        <v/>
      </c>
      <c r="B700" s="45"/>
      <c r="C700" s="46"/>
      <c r="D700" s="46"/>
      <c r="E700" s="47"/>
      <c r="F700" s="44" t="str">
        <f aca="true">IF(OR(B700="",E700="",C700="Done",C700="Cancelled"),"",E700-TODAY())</f>
        <v/>
      </c>
      <c r="G700" s="48" t="str">
        <f aca="true">IF(OR(B700="",C700="Done",C700="Cancelled"),"",IF(AND(E700&lt;&gt;"",E700&lt;TODAY()),"OVERDUE",IF(AND(E700&lt;&gt;"",E700=TODAY()),"DUE TODAY",IF(AND(K700&lt;&gt;"",K700&lt;=TODAY()),"FOLLOW UP",IF(AND(E700&lt;&gt;"",E700&lt;=TODAY()+3),"DUE SOON",IF(E700="","NO DUE DATE",""))))))</f>
        <v/>
      </c>
      <c r="H700" s="45"/>
      <c r="I700" s="46"/>
      <c r="J700" s="45"/>
      <c r="K700" s="47"/>
      <c r="L700" s="47"/>
      <c r="M700" s="47"/>
      <c r="N700" s="45"/>
    </row>
    <row r="701" customFormat="false" ht="18" hidden="false" customHeight="true" outlineLevel="0" collapsed="false">
      <c r="A701" s="44" t="str">
        <f aca="false">IF(B701="","",ROW()-4)</f>
        <v/>
      </c>
      <c r="B701" s="45"/>
      <c r="C701" s="46"/>
      <c r="D701" s="46"/>
      <c r="E701" s="47"/>
      <c r="F701" s="44" t="str">
        <f aca="true">IF(OR(B701="",E701="",C701="Done",C701="Cancelled"),"",E701-TODAY())</f>
        <v/>
      </c>
      <c r="G701" s="48" t="str">
        <f aca="true">IF(OR(B701="",C701="Done",C701="Cancelled"),"",IF(AND(E701&lt;&gt;"",E701&lt;TODAY()),"OVERDUE",IF(AND(E701&lt;&gt;"",E701=TODAY()),"DUE TODAY",IF(AND(K701&lt;&gt;"",K701&lt;=TODAY()),"FOLLOW UP",IF(AND(E701&lt;&gt;"",E701&lt;=TODAY()+3),"DUE SOON",IF(E701="","NO DUE DATE",""))))))</f>
        <v/>
      </c>
      <c r="H701" s="45"/>
      <c r="I701" s="46"/>
      <c r="J701" s="45"/>
      <c r="K701" s="47"/>
      <c r="L701" s="47"/>
      <c r="M701" s="47"/>
      <c r="N701" s="45"/>
    </row>
    <row r="702" customFormat="false" ht="18" hidden="false" customHeight="true" outlineLevel="0" collapsed="false">
      <c r="A702" s="44" t="str">
        <f aca="false">IF(B702="","",ROW()-4)</f>
        <v/>
      </c>
      <c r="B702" s="45"/>
      <c r="C702" s="46"/>
      <c r="D702" s="46"/>
      <c r="E702" s="47"/>
      <c r="F702" s="44" t="str">
        <f aca="true">IF(OR(B702="",E702="",C702="Done",C702="Cancelled"),"",E702-TODAY())</f>
        <v/>
      </c>
      <c r="G702" s="48" t="str">
        <f aca="true">IF(OR(B702="",C702="Done",C702="Cancelled"),"",IF(AND(E702&lt;&gt;"",E702&lt;TODAY()),"OVERDUE",IF(AND(E702&lt;&gt;"",E702=TODAY()),"DUE TODAY",IF(AND(K702&lt;&gt;"",K702&lt;=TODAY()),"FOLLOW UP",IF(AND(E702&lt;&gt;"",E702&lt;=TODAY()+3),"DUE SOON",IF(E702="","NO DUE DATE",""))))))</f>
        <v/>
      </c>
      <c r="H702" s="45"/>
      <c r="I702" s="46"/>
      <c r="J702" s="45"/>
      <c r="K702" s="47"/>
      <c r="L702" s="47"/>
      <c r="M702" s="47"/>
      <c r="N702" s="45"/>
    </row>
    <row r="703" customFormat="false" ht="18" hidden="false" customHeight="true" outlineLevel="0" collapsed="false">
      <c r="A703" s="44" t="str">
        <f aca="false">IF(B703="","",ROW()-4)</f>
        <v/>
      </c>
      <c r="B703" s="45"/>
      <c r="C703" s="46"/>
      <c r="D703" s="46"/>
      <c r="E703" s="47"/>
      <c r="F703" s="44" t="str">
        <f aca="true">IF(OR(B703="",E703="",C703="Done",C703="Cancelled"),"",E703-TODAY())</f>
        <v/>
      </c>
      <c r="G703" s="48" t="str">
        <f aca="true">IF(OR(B703="",C703="Done",C703="Cancelled"),"",IF(AND(E703&lt;&gt;"",E703&lt;TODAY()),"OVERDUE",IF(AND(E703&lt;&gt;"",E703=TODAY()),"DUE TODAY",IF(AND(K703&lt;&gt;"",K703&lt;=TODAY()),"FOLLOW UP",IF(AND(E703&lt;&gt;"",E703&lt;=TODAY()+3),"DUE SOON",IF(E703="","NO DUE DATE",""))))))</f>
        <v/>
      </c>
      <c r="H703" s="45"/>
      <c r="I703" s="46"/>
      <c r="J703" s="45"/>
      <c r="K703" s="47"/>
      <c r="L703" s="47"/>
      <c r="M703" s="47"/>
      <c r="N703" s="45"/>
    </row>
    <row r="704" customFormat="false" ht="18" hidden="false" customHeight="true" outlineLevel="0" collapsed="false">
      <c r="A704" s="44" t="str">
        <f aca="false">IF(B704="","",ROW()-4)</f>
        <v/>
      </c>
      <c r="B704" s="45"/>
      <c r="C704" s="46"/>
      <c r="D704" s="46"/>
      <c r="E704" s="47"/>
      <c r="F704" s="44" t="str">
        <f aca="true">IF(OR(B704="",E704="",C704="Done",C704="Cancelled"),"",E704-TODAY())</f>
        <v/>
      </c>
      <c r="G704" s="48" t="str">
        <f aca="true">IF(OR(B704="",C704="Done",C704="Cancelled"),"",IF(AND(E704&lt;&gt;"",E704&lt;TODAY()),"OVERDUE",IF(AND(E704&lt;&gt;"",E704=TODAY()),"DUE TODAY",IF(AND(K704&lt;&gt;"",K704&lt;=TODAY()),"FOLLOW UP",IF(AND(E704&lt;&gt;"",E704&lt;=TODAY()+3),"DUE SOON",IF(E704="","NO DUE DATE",""))))))</f>
        <v/>
      </c>
      <c r="H704" s="45"/>
      <c r="I704" s="46"/>
      <c r="J704" s="45"/>
      <c r="K704" s="47"/>
      <c r="L704" s="47"/>
      <c r="M704" s="47"/>
      <c r="N704" s="45"/>
    </row>
    <row r="705" customFormat="false" ht="18" hidden="false" customHeight="true" outlineLevel="0" collapsed="false">
      <c r="A705" s="44" t="str">
        <f aca="false">IF(B705="","",ROW()-4)</f>
        <v/>
      </c>
      <c r="B705" s="45"/>
      <c r="C705" s="46"/>
      <c r="D705" s="46"/>
      <c r="E705" s="47"/>
      <c r="F705" s="44" t="str">
        <f aca="true">IF(OR(B705="",E705="",C705="Done",C705="Cancelled"),"",E705-TODAY())</f>
        <v/>
      </c>
      <c r="G705" s="48" t="str">
        <f aca="true">IF(OR(B705="",C705="Done",C705="Cancelled"),"",IF(AND(E705&lt;&gt;"",E705&lt;TODAY()),"OVERDUE",IF(AND(E705&lt;&gt;"",E705=TODAY()),"DUE TODAY",IF(AND(K705&lt;&gt;"",K705&lt;=TODAY()),"FOLLOW UP",IF(AND(E705&lt;&gt;"",E705&lt;=TODAY()+3),"DUE SOON",IF(E705="","NO DUE DATE",""))))))</f>
        <v/>
      </c>
      <c r="H705" s="45"/>
      <c r="I705" s="46"/>
      <c r="J705" s="45"/>
      <c r="K705" s="47"/>
      <c r="L705" s="47"/>
      <c r="M705" s="47"/>
      <c r="N705" s="45"/>
    </row>
    <row r="706" customFormat="false" ht="18" hidden="false" customHeight="true" outlineLevel="0" collapsed="false">
      <c r="A706" s="44" t="str">
        <f aca="false">IF(B706="","",ROW()-4)</f>
        <v/>
      </c>
      <c r="B706" s="45"/>
      <c r="C706" s="46"/>
      <c r="D706" s="46"/>
      <c r="E706" s="47"/>
      <c r="F706" s="44" t="str">
        <f aca="true">IF(OR(B706="",E706="",C706="Done",C706="Cancelled"),"",E706-TODAY())</f>
        <v/>
      </c>
      <c r="G706" s="48" t="str">
        <f aca="true">IF(OR(B706="",C706="Done",C706="Cancelled"),"",IF(AND(E706&lt;&gt;"",E706&lt;TODAY()),"OVERDUE",IF(AND(E706&lt;&gt;"",E706=TODAY()),"DUE TODAY",IF(AND(K706&lt;&gt;"",K706&lt;=TODAY()),"FOLLOW UP",IF(AND(E706&lt;&gt;"",E706&lt;=TODAY()+3),"DUE SOON",IF(E706="","NO DUE DATE",""))))))</f>
        <v/>
      </c>
      <c r="H706" s="45"/>
      <c r="I706" s="46"/>
      <c r="J706" s="45"/>
      <c r="K706" s="47"/>
      <c r="L706" s="47"/>
      <c r="M706" s="47"/>
      <c r="N706" s="45"/>
    </row>
    <row r="707" customFormat="false" ht="18" hidden="false" customHeight="true" outlineLevel="0" collapsed="false">
      <c r="A707" s="44" t="str">
        <f aca="false">IF(B707="","",ROW()-4)</f>
        <v/>
      </c>
      <c r="B707" s="45"/>
      <c r="C707" s="46"/>
      <c r="D707" s="46"/>
      <c r="E707" s="47"/>
      <c r="F707" s="44" t="str">
        <f aca="true">IF(OR(B707="",E707="",C707="Done",C707="Cancelled"),"",E707-TODAY())</f>
        <v/>
      </c>
      <c r="G707" s="48" t="str">
        <f aca="true">IF(OR(B707="",C707="Done",C707="Cancelled"),"",IF(AND(E707&lt;&gt;"",E707&lt;TODAY()),"OVERDUE",IF(AND(E707&lt;&gt;"",E707=TODAY()),"DUE TODAY",IF(AND(K707&lt;&gt;"",K707&lt;=TODAY()),"FOLLOW UP",IF(AND(E707&lt;&gt;"",E707&lt;=TODAY()+3),"DUE SOON",IF(E707="","NO DUE DATE",""))))))</f>
        <v/>
      </c>
      <c r="H707" s="45"/>
      <c r="I707" s="46"/>
      <c r="J707" s="45"/>
      <c r="K707" s="47"/>
      <c r="L707" s="47"/>
      <c r="M707" s="47"/>
      <c r="N707" s="45"/>
    </row>
    <row r="708" customFormat="false" ht="18" hidden="false" customHeight="true" outlineLevel="0" collapsed="false">
      <c r="A708" s="44" t="str">
        <f aca="false">IF(B708="","",ROW()-4)</f>
        <v/>
      </c>
      <c r="B708" s="45"/>
      <c r="C708" s="46"/>
      <c r="D708" s="46"/>
      <c r="E708" s="47"/>
      <c r="F708" s="44" t="str">
        <f aca="true">IF(OR(B708="",E708="",C708="Done",C708="Cancelled"),"",E708-TODAY())</f>
        <v/>
      </c>
      <c r="G708" s="48" t="str">
        <f aca="true">IF(OR(B708="",C708="Done",C708="Cancelled"),"",IF(AND(E708&lt;&gt;"",E708&lt;TODAY()),"OVERDUE",IF(AND(E708&lt;&gt;"",E708=TODAY()),"DUE TODAY",IF(AND(K708&lt;&gt;"",K708&lt;=TODAY()),"FOLLOW UP",IF(AND(E708&lt;&gt;"",E708&lt;=TODAY()+3),"DUE SOON",IF(E708="","NO DUE DATE",""))))))</f>
        <v/>
      </c>
      <c r="H708" s="45"/>
      <c r="I708" s="46"/>
      <c r="J708" s="45"/>
      <c r="K708" s="47"/>
      <c r="L708" s="47"/>
      <c r="M708" s="47"/>
      <c r="N708" s="45"/>
    </row>
    <row r="709" customFormat="false" ht="18" hidden="false" customHeight="true" outlineLevel="0" collapsed="false">
      <c r="A709" s="44" t="str">
        <f aca="false">IF(B709="","",ROW()-4)</f>
        <v/>
      </c>
      <c r="B709" s="45"/>
      <c r="C709" s="46"/>
      <c r="D709" s="46"/>
      <c r="E709" s="47"/>
      <c r="F709" s="44" t="str">
        <f aca="true">IF(OR(B709="",E709="",C709="Done",C709="Cancelled"),"",E709-TODAY())</f>
        <v/>
      </c>
      <c r="G709" s="48" t="str">
        <f aca="true">IF(OR(B709="",C709="Done",C709="Cancelled"),"",IF(AND(E709&lt;&gt;"",E709&lt;TODAY()),"OVERDUE",IF(AND(E709&lt;&gt;"",E709=TODAY()),"DUE TODAY",IF(AND(K709&lt;&gt;"",K709&lt;=TODAY()),"FOLLOW UP",IF(AND(E709&lt;&gt;"",E709&lt;=TODAY()+3),"DUE SOON",IF(E709="","NO DUE DATE",""))))))</f>
        <v/>
      </c>
      <c r="H709" s="45"/>
      <c r="I709" s="46"/>
      <c r="J709" s="45"/>
      <c r="K709" s="47"/>
      <c r="L709" s="47"/>
      <c r="M709" s="47"/>
      <c r="N709" s="45"/>
    </row>
    <row r="710" customFormat="false" ht="18" hidden="false" customHeight="true" outlineLevel="0" collapsed="false">
      <c r="A710" s="44" t="str">
        <f aca="false">IF(B710="","",ROW()-4)</f>
        <v/>
      </c>
      <c r="B710" s="45"/>
      <c r="C710" s="46"/>
      <c r="D710" s="46"/>
      <c r="E710" s="47"/>
      <c r="F710" s="44" t="str">
        <f aca="true">IF(OR(B710="",E710="",C710="Done",C710="Cancelled"),"",E710-TODAY())</f>
        <v/>
      </c>
      <c r="G710" s="48" t="str">
        <f aca="true">IF(OR(B710="",C710="Done",C710="Cancelled"),"",IF(AND(E710&lt;&gt;"",E710&lt;TODAY()),"OVERDUE",IF(AND(E710&lt;&gt;"",E710=TODAY()),"DUE TODAY",IF(AND(K710&lt;&gt;"",K710&lt;=TODAY()),"FOLLOW UP",IF(AND(E710&lt;&gt;"",E710&lt;=TODAY()+3),"DUE SOON",IF(E710="","NO DUE DATE",""))))))</f>
        <v/>
      </c>
      <c r="H710" s="45"/>
      <c r="I710" s="46"/>
      <c r="J710" s="45"/>
      <c r="K710" s="47"/>
      <c r="L710" s="47"/>
      <c r="M710" s="47"/>
      <c r="N710" s="45"/>
    </row>
    <row r="711" customFormat="false" ht="18" hidden="false" customHeight="true" outlineLevel="0" collapsed="false">
      <c r="A711" s="44" t="str">
        <f aca="false">IF(B711="","",ROW()-4)</f>
        <v/>
      </c>
      <c r="B711" s="45"/>
      <c r="C711" s="46"/>
      <c r="D711" s="46"/>
      <c r="E711" s="47"/>
      <c r="F711" s="44" t="str">
        <f aca="true">IF(OR(B711="",E711="",C711="Done",C711="Cancelled"),"",E711-TODAY())</f>
        <v/>
      </c>
      <c r="G711" s="48" t="str">
        <f aca="true">IF(OR(B711="",C711="Done",C711="Cancelled"),"",IF(AND(E711&lt;&gt;"",E711&lt;TODAY()),"OVERDUE",IF(AND(E711&lt;&gt;"",E711=TODAY()),"DUE TODAY",IF(AND(K711&lt;&gt;"",K711&lt;=TODAY()),"FOLLOW UP",IF(AND(E711&lt;&gt;"",E711&lt;=TODAY()+3),"DUE SOON",IF(E711="","NO DUE DATE",""))))))</f>
        <v/>
      </c>
      <c r="H711" s="45"/>
      <c r="I711" s="46"/>
      <c r="J711" s="45"/>
      <c r="K711" s="47"/>
      <c r="L711" s="47"/>
      <c r="M711" s="47"/>
      <c r="N711" s="45"/>
    </row>
    <row r="712" customFormat="false" ht="18" hidden="false" customHeight="true" outlineLevel="0" collapsed="false">
      <c r="A712" s="44" t="str">
        <f aca="false">IF(B712="","",ROW()-4)</f>
        <v/>
      </c>
      <c r="B712" s="45"/>
      <c r="C712" s="46"/>
      <c r="D712" s="46"/>
      <c r="E712" s="47"/>
      <c r="F712" s="44" t="str">
        <f aca="true">IF(OR(B712="",E712="",C712="Done",C712="Cancelled"),"",E712-TODAY())</f>
        <v/>
      </c>
      <c r="G712" s="48" t="str">
        <f aca="true">IF(OR(B712="",C712="Done",C712="Cancelled"),"",IF(AND(E712&lt;&gt;"",E712&lt;TODAY()),"OVERDUE",IF(AND(E712&lt;&gt;"",E712=TODAY()),"DUE TODAY",IF(AND(K712&lt;&gt;"",K712&lt;=TODAY()),"FOLLOW UP",IF(AND(E712&lt;&gt;"",E712&lt;=TODAY()+3),"DUE SOON",IF(E712="","NO DUE DATE",""))))))</f>
        <v/>
      </c>
      <c r="H712" s="45"/>
      <c r="I712" s="46"/>
      <c r="J712" s="45"/>
      <c r="K712" s="47"/>
      <c r="L712" s="47"/>
      <c r="M712" s="47"/>
      <c r="N712" s="45"/>
    </row>
    <row r="713" customFormat="false" ht="18" hidden="false" customHeight="true" outlineLevel="0" collapsed="false">
      <c r="A713" s="44" t="str">
        <f aca="false">IF(B713="","",ROW()-4)</f>
        <v/>
      </c>
      <c r="B713" s="45"/>
      <c r="C713" s="46"/>
      <c r="D713" s="46"/>
      <c r="E713" s="47"/>
      <c r="F713" s="44" t="str">
        <f aca="true">IF(OR(B713="",E713="",C713="Done",C713="Cancelled"),"",E713-TODAY())</f>
        <v/>
      </c>
      <c r="G713" s="48" t="str">
        <f aca="true">IF(OR(B713="",C713="Done",C713="Cancelled"),"",IF(AND(E713&lt;&gt;"",E713&lt;TODAY()),"OVERDUE",IF(AND(E713&lt;&gt;"",E713=TODAY()),"DUE TODAY",IF(AND(K713&lt;&gt;"",K713&lt;=TODAY()),"FOLLOW UP",IF(AND(E713&lt;&gt;"",E713&lt;=TODAY()+3),"DUE SOON",IF(E713="","NO DUE DATE",""))))))</f>
        <v/>
      </c>
      <c r="H713" s="45"/>
      <c r="I713" s="46"/>
      <c r="J713" s="45"/>
      <c r="K713" s="47"/>
      <c r="L713" s="47"/>
      <c r="M713" s="47"/>
      <c r="N713" s="45"/>
    </row>
    <row r="714" customFormat="false" ht="18" hidden="false" customHeight="true" outlineLevel="0" collapsed="false">
      <c r="A714" s="44" t="str">
        <f aca="false">IF(B714="","",ROW()-4)</f>
        <v/>
      </c>
      <c r="B714" s="45"/>
      <c r="C714" s="46"/>
      <c r="D714" s="46"/>
      <c r="E714" s="47"/>
      <c r="F714" s="44" t="str">
        <f aca="true">IF(OR(B714="",E714="",C714="Done",C714="Cancelled"),"",E714-TODAY())</f>
        <v/>
      </c>
      <c r="G714" s="48" t="str">
        <f aca="true">IF(OR(B714="",C714="Done",C714="Cancelled"),"",IF(AND(E714&lt;&gt;"",E714&lt;TODAY()),"OVERDUE",IF(AND(E714&lt;&gt;"",E714=TODAY()),"DUE TODAY",IF(AND(K714&lt;&gt;"",K714&lt;=TODAY()),"FOLLOW UP",IF(AND(E714&lt;&gt;"",E714&lt;=TODAY()+3),"DUE SOON",IF(E714="","NO DUE DATE",""))))))</f>
        <v/>
      </c>
      <c r="H714" s="45"/>
      <c r="I714" s="46"/>
      <c r="J714" s="45"/>
      <c r="K714" s="47"/>
      <c r="L714" s="47"/>
      <c r="M714" s="47"/>
      <c r="N714" s="45"/>
    </row>
    <row r="715" customFormat="false" ht="18" hidden="false" customHeight="true" outlineLevel="0" collapsed="false">
      <c r="A715" s="44" t="str">
        <f aca="false">IF(B715="","",ROW()-4)</f>
        <v/>
      </c>
      <c r="B715" s="45"/>
      <c r="C715" s="46"/>
      <c r="D715" s="46"/>
      <c r="E715" s="47"/>
      <c r="F715" s="44" t="str">
        <f aca="true">IF(OR(B715="",E715="",C715="Done",C715="Cancelled"),"",E715-TODAY())</f>
        <v/>
      </c>
      <c r="G715" s="48" t="str">
        <f aca="true">IF(OR(B715="",C715="Done",C715="Cancelled"),"",IF(AND(E715&lt;&gt;"",E715&lt;TODAY()),"OVERDUE",IF(AND(E715&lt;&gt;"",E715=TODAY()),"DUE TODAY",IF(AND(K715&lt;&gt;"",K715&lt;=TODAY()),"FOLLOW UP",IF(AND(E715&lt;&gt;"",E715&lt;=TODAY()+3),"DUE SOON",IF(E715="","NO DUE DATE",""))))))</f>
        <v/>
      </c>
      <c r="H715" s="45"/>
      <c r="I715" s="46"/>
      <c r="J715" s="45"/>
      <c r="K715" s="47"/>
      <c r="L715" s="47"/>
      <c r="M715" s="47"/>
      <c r="N715" s="45"/>
    </row>
    <row r="716" customFormat="false" ht="18" hidden="false" customHeight="true" outlineLevel="0" collapsed="false">
      <c r="A716" s="44" t="str">
        <f aca="false">IF(B716="","",ROW()-4)</f>
        <v/>
      </c>
      <c r="B716" s="45"/>
      <c r="C716" s="46"/>
      <c r="D716" s="46"/>
      <c r="E716" s="47"/>
      <c r="F716" s="44" t="str">
        <f aca="true">IF(OR(B716="",E716="",C716="Done",C716="Cancelled"),"",E716-TODAY())</f>
        <v/>
      </c>
      <c r="G716" s="48" t="str">
        <f aca="true">IF(OR(B716="",C716="Done",C716="Cancelled"),"",IF(AND(E716&lt;&gt;"",E716&lt;TODAY()),"OVERDUE",IF(AND(E716&lt;&gt;"",E716=TODAY()),"DUE TODAY",IF(AND(K716&lt;&gt;"",K716&lt;=TODAY()),"FOLLOW UP",IF(AND(E716&lt;&gt;"",E716&lt;=TODAY()+3),"DUE SOON",IF(E716="","NO DUE DATE",""))))))</f>
        <v/>
      </c>
      <c r="H716" s="45"/>
      <c r="I716" s="46"/>
      <c r="J716" s="45"/>
      <c r="K716" s="47"/>
      <c r="L716" s="47"/>
      <c r="M716" s="47"/>
      <c r="N716" s="45"/>
    </row>
    <row r="717" customFormat="false" ht="18" hidden="false" customHeight="true" outlineLevel="0" collapsed="false">
      <c r="A717" s="44" t="str">
        <f aca="false">IF(B717="","",ROW()-4)</f>
        <v/>
      </c>
      <c r="B717" s="45"/>
      <c r="C717" s="46"/>
      <c r="D717" s="46"/>
      <c r="E717" s="47"/>
      <c r="F717" s="44" t="str">
        <f aca="true">IF(OR(B717="",E717="",C717="Done",C717="Cancelled"),"",E717-TODAY())</f>
        <v/>
      </c>
      <c r="G717" s="48" t="str">
        <f aca="true">IF(OR(B717="",C717="Done",C717="Cancelled"),"",IF(AND(E717&lt;&gt;"",E717&lt;TODAY()),"OVERDUE",IF(AND(E717&lt;&gt;"",E717=TODAY()),"DUE TODAY",IF(AND(K717&lt;&gt;"",K717&lt;=TODAY()),"FOLLOW UP",IF(AND(E717&lt;&gt;"",E717&lt;=TODAY()+3),"DUE SOON",IF(E717="","NO DUE DATE",""))))))</f>
        <v/>
      </c>
      <c r="H717" s="45"/>
      <c r="I717" s="46"/>
      <c r="J717" s="45"/>
      <c r="K717" s="47"/>
      <c r="L717" s="47"/>
      <c r="M717" s="47"/>
      <c r="N717" s="45"/>
    </row>
    <row r="718" customFormat="false" ht="18" hidden="false" customHeight="true" outlineLevel="0" collapsed="false">
      <c r="A718" s="44" t="str">
        <f aca="false">IF(B718="","",ROW()-4)</f>
        <v/>
      </c>
      <c r="B718" s="45"/>
      <c r="C718" s="46"/>
      <c r="D718" s="46"/>
      <c r="E718" s="47"/>
      <c r="F718" s="44" t="str">
        <f aca="true">IF(OR(B718="",E718="",C718="Done",C718="Cancelled"),"",E718-TODAY())</f>
        <v/>
      </c>
      <c r="G718" s="48" t="str">
        <f aca="true">IF(OR(B718="",C718="Done",C718="Cancelled"),"",IF(AND(E718&lt;&gt;"",E718&lt;TODAY()),"OVERDUE",IF(AND(E718&lt;&gt;"",E718=TODAY()),"DUE TODAY",IF(AND(K718&lt;&gt;"",K718&lt;=TODAY()),"FOLLOW UP",IF(AND(E718&lt;&gt;"",E718&lt;=TODAY()+3),"DUE SOON",IF(E718="","NO DUE DATE",""))))))</f>
        <v/>
      </c>
      <c r="H718" s="45"/>
      <c r="I718" s="46"/>
      <c r="J718" s="45"/>
      <c r="K718" s="47"/>
      <c r="L718" s="47"/>
      <c r="M718" s="47"/>
      <c r="N718" s="45"/>
    </row>
    <row r="719" customFormat="false" ht="18" hidden="false" customHeight="true" outlineLevel="0" collapsed="false">
      <c r="A719" s="44" t="str">
        <f aca="false">IF(B719="","",ROW()-4)</f>
        <v/>
      </c>
      <c r="B719" s="45"/>
      <c r="C719" s="46"/>
      <c r="D719" s="46"/>
      <c r="E719" s="47"/>
      <c r="F719" s="44" t="str">
        <f aca="true">IF(OR(B719="",E719="",C719="Done",C719="Cancelled"),"",E719-TODAY())</f>
        <v/>
      </c>
      <c r="G719" s="48" t="str">
        <f aca="true">IF(OR(B719="",C719="Done",C719="Cancelled"),"",IF(AND(E719&lt;&gt;"",E719&lt;TODAY()),"OVERDUE",IF(AND(E719&lt;&gt;"",E719=TODAY()),"DUE TODAY",IF(AND(K719&lt;&gt;"",K719&lt;=TODAY()),"FOLLOW UP",IF(AND(E719&lt;&gt;"",E719&lt;=TODAY()+3),"DUE SOON",IF(E719="","NO DUE DATE",""))))))</f>
        <v/>
      </c>
      <c r="H719" s="45"/>
      <c r="I719" s="46"/>
      <c r="J719" s="45"/>
      <c r="K719" s="47"/>
      <c r="L719" s="47"/>
      <c r="M719" s="47"/>
      <c r="N719" s="45"/>
    </row>
    <row r="720" customFormat="false" ht="18" hidden="false" customHeight="true" outlineLevel="0" collapsed="false">
      <c r="A720" s="44" t="str">
        <f aca="false">IF(B720="","",ROW()-4)</f>
        <v/>
      </c>
      <c r="B720" s="45"/>
      <c r="C720" s="46"/>
      <c r="D720" s="46"/>
      <c r="E720" s="47"/>
      <c r="F720" s="44" t="str">
        <f aca="true">IF(OR(B720="",E720="",C720="Done",C720="Cancelled"),"",E720-TODAY())</f>
        <v/>
      </c>
      <c r="G720" s="48" t="str">
        <f aca="true">IF(OR(B720="",C720="Done",C720="Cancelled"),"",IF(AND(E720&lt;&gt;"",E720&lt;TODAY()),"OVERDUE",IF(AND(E720&lt;&gt;"",E720=TODAY()),"DUE TODAY",IF(AND(K720&lt;&gt;"",K720&lt;=TODAY()),"FOLLOW UP",IF(AND(E720&lt;&gt;"",E720&lt;=TODAY()+3),"DUE SOON",IF(E720="","NO DUE DATE",""))))))</f>
        <v/>
      </c>
      <c r="H720" s="45"/>
      <c r="I720" s="46"/>
      <c r="J720" s="45"/>
      <c r="K720" s="47"/>
      <c r="L720" s="47"/>
      <c r="M720" s="47"/>
      <c r="N720" s="45"/>
    </row>
    <row r="721" customFormat="false" ht="18" hidden="false" customHeight="true" outlineLevel="0" collapsed="false">
      <c r="A721" s="44" t="str">
        <f aca="false">IF(B721="","",ROW()-4)</f>
        <v/>
      </c>
      <c r="B721" s="45"/>
      <c r="C721" s="46"/>
      <c r="D721" s="46"/>
      <c r="E721" s="47"/>
      <c r="F721" s="44" t="str">
        <f aca="true">IF(OR(B721="",E721="",C721="Done",C721="Cancelled"),"",E721-TODAY())</f>
        <v/>
      </c>
      <c r="G721" s="48" t="str">
        <f aca="true">IF(OR(B721="",C721="Done",C721="Cancelled"),"",IF(AND(E721&lt;&gt;"",E721&lt;TODAY()),"OVERDUE",IF(AND(E721&lt;&gt;"",E721=TODAY()),"DUE TODAY",IF(AND(K721&lt;&gt;"",K721&lt;=TODAY()),"FOLLOW UP",IF(AND(E721&lt;&gt;"",E721&lt;=TODAY()+3),"DUE SOON",IF(E721="","NO DUE DATE",""))))))</f>
        <v/>
      </c>
      <c r="H721" s="45"/>
      <c r="I721" s="46"/>
      <c r="J721" s="45"/>
      <c r="K721" s="47"/>
      <c r="L721" s="47"/>
      <c r="M721" s="47"/>
      <c r="N721" s="45"/>
    </row>
    <row r="722" customFormat="false" ht="18" hidden="false" customHeight="true" outlineLevel="0" collapsed="false">
      <c r="A722" s="44" t="str">
        <f aca="false">IF(B722="","",ROW()-4)</f>
        <v/>
      </c>
      <c r="B722" s="45"/>
      <c r="C722" s="46"/>
      <c r="D722" s="46"/>
      <c r="E722" s="47"/>
      <c r="F722" s="44" t="str">
        <f aca="true">IF(OR(B722="",E722="",C722="Done",C722="Cancelled"),"",E722-TODAY())</f>
        <v/>
      </c>
      <c r="G722" s="48" t="str">
        <f aca="true">IF(OR(B722="",C722="Done",C722="Cancelled"),"",IF(AND(E722&lt;&gt;"",E722&lt;TODAY()),"OVERDUE",IF(AND(E722&lt;&gt;"",E722=TODAY()),"DUE TODAY",IF(AND(K722&lt;&gt;"",K722&lt;=TODAY()),"FOLLOW UP",IF(AND(E722&lt;&gt;"",E722&lt;=TODAY()+3),"DUE SOON",IF(E722="","NO DUE DATE",""))))))</f>
        <v/>
      </c>
      <c r="H722" s="45"/>
      <c r="I722" s="46"/>
      <c r="J722" s="45"/>
      <c r="K722" s="47"/>
      <c r="L722" s="47"/>
      <c r="M722" s="47"/>
      <c r="N722" s="45"/>
    </row>
    <row r="723" customFormat="false" ht="18" hidden="false" customHeight="true" outlineLevel="0" collapsed="false">
      <c r="A723" s="44" t="str">
        <f aca="false">IF(B723="","",ROW()-4)</f>
        <v/>
      </c>
      <c r="B723" s="45"/>
      <c r="C723" s="46"/>
      <c r="D723" s="46"/>
      <c r="E723" s="47"/>
      <c r="F723" s="44" t="str">
        <f aca="true">IF(OR(B723="",E723="",C723="Done",C723="Cancelled"),"",E723-TODAY())</f>
        <v/>
      </c>
      <c r="G723" s="48" t="str">
        <f aca="true">IF(OR(B723="",C723="Done",C723="Cancelled"),"",IF(AND(E723&lt;&gt;"",E723&lt;TODAY()),"OVERDUE",IF(AND(E723&lt;&gt;"",E723=TODAY()),"DUE TODAY",IF(AND(K723&lt;&gt;"",K723&lt;=TODAY()),"FOLLOW UP",IF(AND(E723&lt;&gt;"",E723&lt;=TODAY()+3),"DUE SOON",IF(E723="","NO DUE DATE",""))))))</f>
        <v/>
      </c>
      <c r="H723" s="45"/>
      <c r="I723" s="46"/>
      <c r="J723" s="45"/>
      <c r="K723" s="47"/>
      <c r="L723" s="47"/>
      <c r="M723" s="47"/>
      <c r="N723" s="45"/>
    </row>
    <row r="724" customFormat="false" ht="18" hidden="false" customHeight="true" outlineLevel="0" collapsed="false">
      <c r="A724" s="44" t="str">
        <f aca="false">IF(B724="","",ROW()-4)</f>
        <v/>
      </c>
      <c r="B724" s="45"/>
      <c r="C724" s="46"/>
      <c r="D724" s="46"/>
      <c r="E724" s="47"/>
      <c r="F724" s="44" t="str">
        <f aca="true">IF(OR(B724="",E724="",C724="Done",C724="Cancelled"),"",E724-TODAY())</f>
        <v/>
      </c>
      <c r="G724" s="48" t="str">
        <f aca="true">IF(OR(B724="",C724="Done",C724="Cancelled"),"",IF(AND(E724&lt;&gt;"",E724&lt;TODAY()),"OVERDUE",IF(AND(E724&lt;&gt;"",E724=TODAY()),"DUE TODAY",IF(AND(K724&lt;&gt;"",K724&lt;=TODAY()),"FOLLOW UP",IF(AND(E724&lt;&gt;"",E724&lt;=TODAY()+3),"DUE SOON",IF(E724="","NO DUE DATE",""))))))</f>
        <v/>
      </c>
      <c r="H724" s="45"/>
      <c r="I724" s="46"/>
      <c r="J724" s="45"/>
      <c r="K724" s="47"/>
      <c r="L724" s="47"/>
      <c r="M724" s="47"/>
      <c r="N724" s="45"/>
    </row>
    <row r="725" customFormat="false" ht="18" hidden="false" customHeight="true" outlineLevel="0" collapsed="false">
      <c r="A725" s="44" t="str">
        <f aca="false">IF(B725="","",ROW()-4)</f>
        <v/>
      </c>
      <c r="B725" s="45"/>
      <c r="C725" s="46"/>
      <c r="D725" s="46"/>
      <c r="E725" s="47"/>
      <c r="F725" s="44" t="str">
        <f aca="true">IF(OR(B725="",E725="",C725="Done",C725="Cancelled"),"",E725-TODAY())</f>
        <v/>
      </c>
      <c r="G725" s="48" t="str">
        <f aca="true">IF(OR(B725="",C725="Done",C725="Cancelled"),"",IF(AND(E725&lt;&gt;"",E725&lt;TODAY()),"OVERDUE",IF(AND(E725&lt;&gt;"",E725=TODAY()),"DUE TODAY",IF(AND(K725&lt;&gt;"",K725&lt;=TODAY()),"FOLLOW UP",IF(AND(E725&lt;&gt;"",E725&lt;=TODAY()+3),"DUE SOON",IF(E725="","NO DUE DATE",""))))))</f>
        <v/>
      </c>
      <c r="H725" s="45"/>
      <c r="I725" s="46"/>
      <c r="J725" s="45"/>
      <c r="K725" s="47"/>
      <c r="L725" s="47"/>
      <c r="M725" s="47"/>
      <c r="N725" s="45"/>
    </row>
    <row r="726" customFormat="false" ht="18" hidden="false" customHeight="true" outlineLevel="0" collapsed="false">
      <c r="A726" s="44" t="str">
        <f aca="false">IF(B726="","",ROW()-4)</f>
        <v/>
      </c>
      <c r="B726" s="45"/>
      <c r="C726" s="46"/>
      <c r="D726" s="46"/>
      <c r="E726" s="47"/>
      <c r="F726" s="44" t="str">
        <f aca="true">IF(OR(B726="",E726="",C726="Done",C726="Cancelled"),"",E726-TODAY())</f>
        <v/>
      </c>
      <c r="G726" s="48" t="str">
        <f aca="true">IF(OR(B726="",C726="Done",C726="Cancelled"),"",IF(AND(E726&lt;&gt;"",E726&lt;TODAY()),"OVERDUE",IF(AND(E726&lt;&gt;"",E726=TODAY()),"DUE TODAY",IF(AND(K726&lt;&gt;"",K726&lt;=TODAY()),"FOLLOW UP",IF(AND(E726&lt;&gt;"",E726&lt;=TODAY()+3),"DUE SOON",IF(E726="","NO DUE DATE",""))))))</f>
        <v/>
      </c>
      <c r="H726" s="45"/>
      <c r="I726" s="46"/>
      <c r="J726" s="45"/>
      <c r="K726" s="47"/>
      <c r="L726" s="47"/>
      <c r="M726" s="47"/>
      <c r="N726" s="45"/>
    </row>
    <row r="727" customFormat="false" ht="18" hidden="false" customHeight="true" outlineLevel="0" collapsed="false">
      <c r="A727" s="44" t="str">
        <f aca="false">IF(B727="","",ROW()-4)</f>
        <v/>
      </c>
      <c r="B727" s="45"/>
      <c r="C727" s="46"/>
      <c r="D727" s="46"/>
      <c r="E727" s="47"/>
      <c r="F727" s="44" t="str">
        <f aca="true">IF(OR(B727="",E727="",C727="Done",C727="Cancelled"),"",E727-TODAY())</f>
        <v/>
      </c>
      <c r="G727" s="48" t="str">
        <f aca="true">IF(OR(B727="",C727="Done",C727="Cancelled"),"",IF(AND(E727&lt;&gt;"",E727&lt;TODAY()),"OVERDUE",IF(AND(E727&lt;&gt;"",E727=TODAY()),"DUE TODAY",IF(AND(K727&lt;&gt;"",K727&lt;=TODAY()),"FOLLOW UP",IF(AND(E727&lt;&gt;"",E727&lt;=TODAY()+3),"DUE SOON",IF(E727="","NO DUE DATE",""))))))</f>
        <v/>
      </c>
      <c r="H727" s="45"/>
      <c r="I727" s="46"/>
      <c r="J727" s="45"/>
      <c r="K727" s="47"/>
      <c r="L727" s="47"/>
      <c r="M727" s="47"/>
      <c r="N727" s="45"/>
    </row>
    <row r="728" customFormat="false" ht="18" hidden="false" customHeight="true" outlineLevel="0" collapsed="false">
      <c r="A728" s="44" t="str">
        <f aca="false">IF(B728="","",ROW()-4)</f>
        <v/>
      </c>
      <c r="B728" s="45"/>
      <c r="C728" s="46"/>
      <c r="D728" s="46"/>
      <c r="E728" s="47"/>
      <c r="F728" s="44" t="str">
        <f aca="true">IF(OR(B728="",E728="",C728="Done",C728="Cancelled"),"",E728-TODAY())</f>
        <v/>
      </c>
      <c r="G728" s="48" t="str">
        <f aca="true">IF(OR(B728="",C728="Done",C728="Cancelled"),"",IF(AND(E728&lt;&gt;"",E728&lt;TODAY()),"OVERDUE",IF(AND(E728&lt;&gt;"",E728=TODAY()),"DUE TODAY",IF(AND(K728&lt;&gt;"",K728&lt;=TODAY()),"FOLLOW UP",IF(AND(E728&lt;&gt;"",E728&lt;=TODAY()+3),"DUE SOON",IF(E728="","NO DUE DATE",""))))))</f>
        <v/>
      </c>
      <c r="H728" s="45"/>
      <c r="I728" s="46"/>
      <c r="J728" s="45"/>
      <c r="K728" s="47"/>
      <c r="L728" s="47"/>
      <c r="M728" s="47"/>
      <c r="N728" s="45"/>
    </row>
    <row r="729" customFormat="false" ht="18" hidden="false" customHeight="true" outlineLevel="0" collapsed="false">
      <c r="A729" s="44" t="str">
        <f aca="false">IF(B729="","",ROW()-4)</f>
        <v/>
      </c>
      <c r="B729" s="45"/>
      <c r="C729" s="46"/>
      <c r="D729" s="46"/>
      <c r="E729" s="47"/>
      <c r="F729" s="44" t="str">
        <f aca="true">IF(OR(B729="",E729="",C729="Done",C729="Cancelled"),"",E729-TODAY())</f>
        <v/>
      </c>
      <c r="G729" s="48" t="str">
        <f aca="true">IF(OR(B729="",C729="Done",C729="Cancelled"),"",IF(AND(E729&lt;&gt;"",E729&lt;TODAY()),"OVERDUE",IF(AND(E729&lt;&gt;"",E729=TODAY()),"DUE TODAY",IF(AND(K729&lt;&gt;"",K729&lt;=TODAY()),"FOLLOW UP",IF(AND(E729&lt;&gt;"",E729&lt;=TODAY()+3),"DUE SOON",IF(E729="","NO DUE DATE",""))))))</f>
        <v/>
      </c>
      <c r="H729" s="45"/>
      <c r="I729" s="46"/>
      <c r="J729" s="45"/>
      <c r="K729" s="47"/>
      <c r="L729" s="47"/>
      <c r="M729" s="47"/>
      <c r="N729" s="45"/>
    </row>
    <row r="730" customFormat="false" ht="18" hidden="false" customHeight="true" outlineLevel="0" collapsed="false">
      <c r="A730" s="44" t="str">
        <f aca="false">IF(B730="","",ROW()-4)</f>
        <v/>
      </c>
      <c r="B730" s="45"/>
      <c r="C730" s="46"/>
      <c r="D730" s="46"/>
      <c r="E730" s="47"/>
      <c r="F730" s="44" t="str">
        <f aca="true">IF(OR(B730="",E730="",C730="Done",C730="Cancelled"),"",E730-TODAY())</f>
        <v/>
      </c>
      <c r="G730" s="48" t="str">
        <f aca="true">IF(OR(B730="",C730="Done",C730="Cancelled"),"",IF(AND(E730&lt;&gt;"",E730&lt;TODAY()),"OVERDUE",IF(AND(E730&lt;&gt;"",E730=TODAY()),"DUE TODAY",IF(AND(K730&lt;&gt;"",K730&lt;=TODAY()),"FOLLOW UP",IF(AND(E730&lt;&gt;"",E730&lt;=TODAY()+3),"DUE SOON",IF(E730="","NO DUE DATE",""))))))</f>
        <v/>
      </c>
      <c r="H730" s="45"/>
      <c r="I730" s="46"/>
      <c r="J730" s="45"/>
      <c r="K730" s="47"/>
      <c r="L730" s="47"/>
      <c r="M730" s="47"/>
      <c r="N730" s="45"/>
    </row>
    <row r="731" customFormat="false" ht="18" hidden="false" customHeight="true" outlineLevel="0" collapsed="false">
      <c r="A731" s="44" t="str">
        <f aca="false">IF(B731="","",ROW()-4)</f>
        <v/>
      </c>
      <c r="B731" s="45"/>
      <c r="C731" s="46"/>
      <c r="D731" s="46"/>
      <c r="E731" s="47"/>
      <c r="F731" s="44" t="str">
        <f aca="true">IF(OR(B731="",E731="",C731="Done",C731="Cancelled"),"",E731-TODAY())</f>
        <v/>
      </c>
      <c r="G731" s="48" t="str">
        <f aca="true">IF(OR(B731="",C731="Done",C731="Cancelled"),"",IF(AND(E731&lt;&gt;"",E731&lt;TODAY()),"OVERDUE",IF(AND(E731&lt;&gt;"",E731=TODAY()),"DUE TODAY",IF(AND(K731&lt;&gt;"",K731&lt;=TODAY()),"FOLLOW UP",IF(AND(E731&lt;&gt;"",E731&lt;=TODAY()+3),"DUE SOON",IF(E731="","NO DUE DATE",""))))))</f>
        <v/>
      </c>
      <c r="H731" s="45"/>
      <c r="I731" s="46"/>
      <c r="J731" s="45"/>
      <c r="K731" s="47"/>
      <c r="L731" s="47"/>
      <c r="M731" s="47"/>
      <c r="N731" s="45"/>
    </row>
    <row r="732" customFormat="false" ht="18" hidden="false" customHeight="true" outlineLevel="0" collapsed="false">
      <c r="A732" s="44" t="str">
        <f aca="false">IF(B732="","",ROW()-4)</f>
        <v/>
      </c>
      <c r="B732" s="45"/>
      <c r="C732" s="46"/>
      <c r="D732" s="46"/>
      <c r="E732" s="47"/>
      <c r="F732" s="44" t="str">
        <f aca="true">IF(OR(B732="",E732="",C732="Done",C732="Cancelled"),"",E732-TODAY())</f>
        <v/>
      </c>
      <c r="G732" s="48" t="str">
        <f aca="true">IF(OR(B732="",C732="Done",C732="Cancelled"),"",IF(AND(E732&lt;&gt;"",E732&lt;TODAY()),"OVERDUE",IF(AND(E732&lt;&gt;"",E732=TODAY()),"DUE TODAY",IF(AND(K732&lt;&gt;"",K732&lt;=TODAY()),"FOLLOW UP",IF(AND(E732&lt;&gt;"",E732&lt;=TODAY()+3),"DUE SOON",IF(E732="","NO DUE DATE",""))))))</f>
        <v/>
      </c>
      <c r="H732" s="45"/>
      <c r="I732" s="46"/>
      <c r="J732" s="45"/>
      <c r="K732" s="47"/>
      <c r="L732" s="47"/>
      <c r="M732" s="47"/>
      <c r="N732" s="45"/>
    </row>
    <row r="733" customFormat="false" ht="18" hidden="false" customHeight="true" outlineLevel="0" collapsed="false">
      <c r="A733" s="44" t="str">
        <f aca="false">IF(B733="","",ROW()-4)</f>
        <v/>
      </c>
      <c r="B733" s="45"/>
      <c r="C733" s="46"/>
      <c r="D733" s="46"/>
      <c r="E733" s="47"/>
      <c r="F733" s="44" t="str">
        <f aca="true">IF(OR(B733="",E733="",C733="Done",C733="Cancelled"),"",E733-TODAY())</f>
        <v/>
      </c>
      <c r="G733" s="48" t="str">
        <f aca="true">IF(OR(B733="",C733="Done",C733="Cancelled"),"",IF(AND(E733&lt;&gt;"",E733&lt;TODAY()),"OVERDUE",IF(AND(E733&lt;&gt;"",E733=TODAY()),"DUE TODAY",IF(AND(K733&lt;&gt;"",K733&lt;=TODAY()),"FOLLOW UP",IF(AND(E733&lt;&gt;"",E733&lt;=TODAY()+3),"DUE SOON",IF(E733="","NO DUE DATE",""))))))</f>
        <v/>
      </c>
      <c r="H733" s="45"/>
      <c r="I733" s="46"/>
      <c r="J733" s="45"/>
      <c r="K733" s="47"/>
      <c r="L733" s="47"/>
      <c r="M733" s="47"/>
      <c r="N733" s="45"/>
    </row>
    <row r="734" customFormat="false" ht="18" hidden="false" customHeight="true" outlineLevel="0" collapsed="false">
      <c r="A734" s="44" t="str">
        <f aca="false">IF(B734="","",ROW()-4)</f>
        <v/>
      </c>
      <c r="B734" s="45"/>
      <c r="C734" s="46"/>
      <c r="D734" s="46"/>
      <c r="E734" s="47"/>
      <c r="F734" s="44" t="str">
        <f aca="true">IF(OR(B734="",E734="",C734="Done",C734="Cancelled"),"",E734-TODAY())</f>
        <v/>
      </c>
      <c r="G734" s="48" t="str">
        <f aca="true">IF(OR(B734="",C734="Done",C734="Cancelled"),"",IF(AND(E734&lt;&gt;"",E734&lt;TODAY()),"OVERDUE",IF(AND(E734&lt;&gt;"",E734=TODAY()),"DUE TODAY",IF(AND(K734&lt;&gt;"",K734&lt;=TODAY()),"FOLLOW UP",IF(AND(E734&lt;&gt;"",E734&lt;=TODAY()+3),"DUE SOON",IF(E734="","NO DUE DATE",""))))))</f>
        <v/>
      </c>
      <c r="H734" s="45"/>
      <c r="I734" s="46"/>
      <c r="J734" s="45"/>
      <c r="K734" s="47"/>
      <c r="L734" s="47"/>
      <c r="M734" s="47"/>
      <c r="N734" s="45"/>
    </row>
    <row r="735" customFormat="false" ht="18" hidden="false" customHeight="true" outlineLevel="0" collapsed="false">
      <c r="A735" s="44" t="str">
        <f aca="false">IF(B735="","",ROW()-4)</f>
        <v/>
      </c>
      <c r="B735" s="45"/>
      <c r="C735" s="46"/>
      <c r="D735" s="46"/>
      <c r="E735" s="47"/>
      <c r="F735" s="44" t="str">
        <f aca="true">IF(OR(B735="",E735="",C735="Done",C735="Cancelled"),"",E735-TODAY())</f>
        <v/>
      </c>
      <c r="G735" s="48" t="str">
        <f aca="true">IF(OR(B735="",C735="Done",C735="Cancelled"),"",IF(AND(E735&lt;&gt;"",E735&lt;TODAY()),"OVERDUE",IF(AND(E735&lt;&gt;"",E735=TODAY()),"DUE TODAY",IF(AND(K735&lt;&gt;"",K735&lt;=TODAY()),"FOLLOW UP",IF(AND(E735&lt;&gt;"",E735&lt;=TODAY()+3),"DUE SOON",IF(E735="","NO DUE DATE",""))))))</f>
        <v/>
      </c>
      <c r="H735" s="45"/>
      <c r="I735" s="46"/>
      <c r="J735" s="45"/>
      <c r="K735" s="47"/>
      <c r="L735" s="47"/>
      <c r="M735" s="47"/>
      <c r="N735" s="45"/>
    </row>
    <row r="736" customFormat="false" ht="18" hidden="false" customHeight="true" outlineLevel="0" collapsed="false">
      <c r="A736" s="44" t="str">
        <f aca="false">IF(B736="","",ROW()-4)</f>
        <v/>
      </c>
      <c r="B736" s="45"/>
      <c r="C736" s="46"/>
      <c r="D736" s="46"/>
      <c r="E736" s="47"/>
      <c r="F736" s="44" t="str">
        <f aca="true">IF(OR(B736="",E736="",C736="Done",C736="Cancelled"),"",E736-TODAY())</f>
        <v/>
      </c>
      <c r="G736" s="48" t="str">
        <f aca="true">IF(OR(B736="",C736="Done",C736="Cancelled"),"",IF(AND(E736&lt;&gt;"",E736&lt;TODAY()),"OVERDUE",IF(AND(E736&lt;&gt;"",E736=TODAY()),"DUE TODAY",IF(AND(K736&lt;&gt;"",K736&lt;=TODAY()),"FOLLOW UP",IF(AND(E736&lt;&gt;"",E736&lt;=TODAY()+3),"DUE SOON",IF(E736="","NO DUE DATE",""))))))</f>
        <v/>
      </c>
      <c r="H736" s="45"/>
      <c r="I736" s="46"/>
      <c r="J736" s="45"/>
      <c r="K736" s="47"/>
      <c r="L736" s="47"/>
      <c r="M736" s="47"/>
      <c r="N736" s="45"/>
    </row>
    <row r="737" customFormat="false" ht="18" hidden="false" customHeight="true" outlineLevel="0" collapsed="false">
      <c r="A737" s="44" t="str">
        <f aca="false">IF(B737="","",ROW()-4)</f>
        <v/>
      </c>
      <c r="B737" s="45"/>
      <c r="C737" s="46"/>
      <c r="D737" s="46"/>
      <c r="E737" s="47"/>
      <c r="F737" s="44" t="str">
        <f aca="true">IF(OR(B737="",E737="",C737="Done",C737="Cancelled"),"",E737-TODAY())</f>
        <v/>
      </c>
      <c r="G737" s="48" t="str">
        <f aca="true">IF(OR(B737="",C737="Done",C737="Cancelled"),"",IF(AND(E737&lt;&gt;"",E737&lt;TODAY()),"OVERDUE",IF(AND(E737&lt;&gt;"",E737=TODAY()),"DUE TODAY",IF(AND(K737&lt;&gt;"",K737&lt;=TODAY()),"FOLLOW UP",IF(AND(E737&lt;&gt;"",E737&lt;=TODAY()+3),"DUE SOON",IF(E737="","NO DUE DATE",""))))))</f>
        <v/>
      </c>
      <c r="H737" s="45"/>
      <c r="I737" s="46"/>
      <c r="J737" s="45"/>
      <c r="K737" s="47"/>
      <c r="L737" s="47"/>
      <c r="M737" s="47"/>
      <c r="N737" s="45"/>
    </row>
    <row r="738" customFormat="false" ht="18" hidden="false" customHeight="true" outlineLevel="0" collapsed="false">
      <c r="A738" s="44" t="str">
        <f aca="false">IF(B738="","",ROW()-4)</f>
        <v/>
      </c>
      <c r="B738" s="45"/>
      <c r="C738" s="46"/>
      <c r="D738" s="46"/>
      <c r="E738" s="47"/>
      <c r="F738" s="44" t="str">
        <f aca="true">IF(OR(B738="",E738="",C738="Done",C738="Cancelled"),"",E738-TODAY())</f>
        <v/>
      </c>
      <c r="G738" s="48" t="str">
        <f aca="true">IF(OR(B738="",C738="Done",C738="Cancelled"),"",IF(AND(E738&lt;&gt;"",E738&lt;TODAY()),"OVERDUE",IF(AND(E738&lt;&gt;"",E738=TODAY()),"DUE TODAY",IF(AND(K738&lt;&gt;"",K738&lt;=TODAY()),"FOLLOW UP",IF(AND(E738&lt;&gt;"",E738&lt;=TODAY()+3),"DUE SOON",IF(E738="","NO DUE DATE",""))))))</f>
        <v/>
      </c>
      <c r="H738" s="45"/>
      <c r="I738" s="46"/>
      <c r="J738" s="45"/>
      <c r="K738" s="47"/>
      <c r="L738" s="47"/>
      <c r="M738" s="47"/>
      <c r="N738" s="45"/>
    </row>
    <row r="739" customFormat="false" ht="18" hidden="false" customHeight="true" outlineLevel="0" collapsed="false">
      <c r="A739" s="44" t="str">
        <f aca="false">IF(B739="","",ROW()-4)</f>
        <v/>
      </c>
      <c r="B739" s="45"/>
      <c r="C739" s="46"/>
      <c r="D739" s="46"/>
      <c r="E739" s="47"/>
      <c r="F739" s="44" t="str">
        <f aca="true">IF(OR(B739="",E739="",C739="Done",C739="Cancelled"),"",E739-TODAY())</f>
        <v/>
      </c>
      <c r="G739" s="48" t="str">
        <f aca="true">IF(OR(B739="",C739="Done",C739="Cancelled"),"",IF(AND(E739&lt;&gt;"",E739&lt;TODAY()),"OVERDUE",IF(AND(E739&lt;&gt;"",E739=TODAY()),"DUE TODAY",IF(AND(K739&lt;&gt;"",K739&lt;=TODAY()),"FOLLOW UP",IF(AND(E739&lt;&gt;"",E739&lt;=TODAY()+3),"DUE SOON",IF(E739="","NO DUE DATE",""))))))</f>
        <v/>
      </c>
      <c r="H739" s="45"/>
      <c r="I739" s="46"/>
      <c r="J739" s="45"/>
      <c r="K739" s="47"/>
      <c r="L739" s="47"/>
      <c r="M739" s="47"/>
      <c r="N739" s="45"/>
    </row>
    <row r="740" customFormat="false" ht="18" hidden="false" customHeight="true" outlineLevel="0" collapsed="false">
      <c r="A740" s="44" t="str">
        <f aca="false">IF(B740="","",ROW()-4)</f>
        <v/>
      </c>
      <c r="B740" s="45"/>
      <c r="C740" s="46"/>
      <c r="D740" s="46"/>
      <c r="E740" s="47"/>
      <c r="F740" s="44" t="str">
        <f aca="true">IF(OR(B740="",E740="",C740="Done",C740="Cancelled"),"",E740-TODAY())</f>
        <v/>
      </c>
      <c r="G740" s="48" t="str">
        <f aca="true">IF(OR(B740="",C740="Done",C740="Cancelled"),"",IF(AND(E740&lt;&gt;"",E740&lt;TODAY()),"OVERDUE",IF(AND(E740&lt;&gt;"",E740=TODAY()),"DUE TODAY",IF(AND(K740&lt;&gt;"",K740&lt;=TODAY()),"FOLLOW UP",IF(AND(E740&lt;&gt;"",E740&lt;=TODAY()+3),"DUE SOON",IF(E740="","NO DUE DATE",""))))))</f>
        <v/>
      </c>
      <c r="H740" s="45"/>
      <c r="I740" s="46"/>
      <c r="J740" s="45"/>
      <c r="K740" s="47"/>
      <c r="L740" s="47"/>
      <c r="M740" s="47"/>
      <c r="N740" s="45"/>
    </row>
    <row r="741" customFormat="false" ht="18" hidden="false" customHeight="true" outlineLevel="0" collapsed="false">
      <c r="A741" s="44" t="str">
        <f aca="false">IF(B741="","",ROW()-4)</f>
        <v/>
      </c>
      <c r="B741" s="45"/>
      <c r="C741" s="46"/>
      <c r="D741" s="46"/>
      <c r="E741" s="47"/>
      <c r="F741" s="44" t="str">
        <f aca="true">IF(OR(B741="",E741="",C741="Done",C741="Cancelled"),"",E741-TODAY())</f>
        <v/>
      </c>
      <c r="G741" s="48" t="str">
        <f aca="true">IF(OR(B741="",C741="Done",C741="Cancelled"),"",IF(AND(E741&lt;&gt;"",E741&lt;TODAY()),"OVERDUE",IF(AND(E741&lt;&gt;"",E741=TODAY()),"DUE TODAY",IF(AND(K741&lt;&gt;"",K741&lt;=TODAY()),"FOLLOW UP",IF(AND(E741&lt;&gt;"",E741&lt;=TODAY()+3),"DUE SOON",IF(E741="","NO DUE DATE",""))))))</f>
        <v/>
      </c>
      <c r="H741" s="45"/>
      <c r="I741" s="46"/>
      <c r="J741" s="45"/>
      <c r="K741" s="47"/>
      <c r="L741" s="47"/>
      <c r="M741" s="47"/>
      <c r="N741" s="45"/>
    </row>
    <row r="742" customFormat="false" ht="18" hidden="false" customHeight="true" outlineLevel="0" collapsed="false">
      <c r="A742" s="44" t="str">
        <f aca="false">IF(B742="","",ROW()-4)</f>
        <v/>
      </c>
      <c r="B742" s="45"/>
      <c r="C742" s="46"/>
      <c r="D742" s="46"/>
      <c r="E742" s="47"/>
      <c r="F742" s="44" t="str">
        <f aca="true">IF(OR(B742="",E742="",C742="Done",C742="Cancelled"),"",E742-TODAY())</f>
        <v/>
      </c>
      <c r="G742" s="48" t="str">
        <f aca="true">IF(OR(B742="",C742="Done",C742="Cancelled"),"",IF(AND(E742&lt;&gt;"",E742&lt;TODAY()),"OVERDUE",IF(AND(E742&lt;&gt;"",E742=TODAY()),"DUE TODAY",IF(AND(K742&lt;&gt;"",K742&lt;=TODAY()),"FOLLOW UP",IF(AND(E742&lt;&gt;"",E742&lt;=TODAY()+3),"DUE SOON",IF(E742="","NO DUE DATE",""))))))</f>
        <v/>
      </c>
      <c r="H742" s="45"/>
      <c r="I742" s="46"/>
      <c r="J742" s="45"/>
      <c r="K742" s="47"/>
      <c r="L742" s="47"/>
      <c r="M742" s="47"/>
      <c r="N742" s="45"/>
    </row>
    <row r="743" customFormat="false" ht="18" hidden="false" customHeight="true" outlineLevel="0" collapsed="false">
      <c r="A743" s="44" t="str">
        <f aca="false">IF(B743="","",ROW()-4)</f>
        <v/>
      </c>
      <c r="B743" s="45"/>
      <c r="C743" s="46"/>
      <c r="D743" s="46"/>
      <c r="E743" s="47"/>
      <c r="F743" s="44" t="str">
        <f aca="true">IF(OR(B743="",E743="",C743="Done",C743="Cancelled"),"",E743-TODAY())</f>
        <v/>
      </c>
      <c r="G743" s="48" t="str">
        <f aca="true">IF(OR(B743="",C743="Done",C743="Cancelled"),"",IF(AND(E743&lt;&gt;"",E743&lt;TODAY()),"OVERDUE",IF(AND(E743&lt;&gt;"",E743=TODAY()),"DUE TODAY",IF(AND(K743&lt;&gt;"",K743&lt;=TODAY()),"FOLLOW UP",IF(AND(E743&lt;&gt;"",E743&lt;=TODAY()+3),"DUE SOON",IF(E743="","NO DUE DATE",""))))))</f>
        <v/>
      </c>
      <c r="H743" s="45"/>
      <c r="I743" s="46"/>
      <c r="J743" s="45"/>
      <c r="K743" s="47"/>
      <c r="L743" s="47"/>
      <c r="M743" s="47"/>
      <c r="N743" s="45"/>
    </row>
    <row r="744" customFormat="false" ht="18" hidden="false" customHeight="true" outlineLevel="0" collapsed="false">
      <c r="A744" s="44" t="str">
        <f aca="false">IF(B744="","",ROW()-4)</f>
        <v/>
      </c>
      <c r="B744" s="45"/>
      <c r="C744" s="46"/>
      <c r="D744" s="46"/>
      <c r="E744" s="47"/>
      <c r="F744" s="44" t="str">
        <f aca="true">IF(OR(B744="",E744="",C744="Done",C744="Cancelled"),"",E744-TODAY())</f>
        <v/>
      </c>
      <c r="G744" s="48" t="str">
        <f aca="true">IF(OR(B744="",C744="Done",C744="Cancelled"),"",IF(AND(E744&lt;&gt;"",E744&lt;TODAY()),"OVERDUE",IF(AND(E744&lt;&gt;"",E744=TODAY()),"DUE TODAY",IF(AND(K744&lt;&gt;"",K744&lt;=TODAY()),"FOLLOW UP",IF(AND(E744&lt;&gt;"",E744&lt;=TODAY()+3),"DUE SOON",IF(E744="","NO DUE DATE",""))))))</f>
        <v/>
      </c>
      <c r="H744" s="45"/>
      <c r="I744" s="46"/>
      <c r="J744" s="45"/>
      <c r="K744" s="47"/>
      <c r="L744" s="47"/>
      <c r="M744" s="47"/>
      <c r="N744" s="45"/>
    </row>
    <row r="745" customFormat="false" ht="18" hidden="false" customHeight="true" outlineLevel="0" collapsed="false">
      <c r="A745" s="44" t="str">
        <f aca="false">IF(B745="","",ROW()-4)</f>
        <v/>
      </c>
      <c r="B745" s="45"/>
      <c r="C745" s="46"/>
      <c r="D745" s="46"/>
      <c r="E745" s="47"/>
      <c r="F745" s="44" t="str">
        <f aca="true">IF(OR(B745="",E745="",C745="Done",C745="Cancelled"),"",E745-TODAY())</f>
        <v/>
      </c>
      <c r="G745" s="48" t="str">
        <f aca="true">IF(OR(B745="",C745="Done",C745="Cancelled"),"",IF(AND(E745&lt;&gt;"",E745&lt;TODAY()),"OVERDUE",IF(AND(E745&lt;&gt;"",E745=TODAY()),"DUE TODAY",IF(AND(K745&lt;&gt;"",K745&lt;=TODAY()),"FOLLOW UP",IF(AND(E745&lt;&gt;"",E745&lt;=TODAY()+3),"DUE SOON",IF(E745="","NO DUE DATE",""))))))</f>
        <v/>
      </c>
      <c r="H745" s="45"/>
      <c r="I745" s="46"/>
      <c r="J745" s="45"/>
      <c r="K745" s="47"/>
      <c r="L745" s="47"/>
      <c r="M745" s="47"/>
      <c r="N745" s="45"/>
    </row>
    <row r="746" customFormat="false" ht="18" hidden="false" customHeight="true" outlineLevel="0" collapsed="false">
      <c r="A746" s="44" t="str">
        <f aca="false">IF(B746="","",ROW()-4)</f>
        <v/>
      </c>
      <c r="B746" s="45"/>
      <c r="C746" s="46"/>
      <c r="D746" s="46"/>
      <c r="E746" s="47"/>
      <c r="F746" s="44" t="str">
        <f aca="true">IF(OR(B746="",E746="",C746="Done",C746="Cancelled"),"",E746-TODAY())</f>
        <v/>
      </c>
      <c r="G746" s="48" t="str">
        <f aca="true">IF(OR(B746="",C746="Done",C746="Cancelled"),"",IF(AND(E746&lt;&gt;"",E746&lt;TODAY()),"OVERDUE",IF(AND(E746&lt;&gt;"",E746=TODAY()),"DUE TODAY",IF(AND(K746&lt;&gt;"",K746&lt;=TODAY()),"FOLLOW UP",IF(AND(E746&lt;&gt;"",E746&lt;=TODAY()+3),"DUE SOON",IF(E746="","NO DUE DATE",""))))))</f>
        <v/>
      </c>
      <c r="H746" s="45"/>
      <c r="I746" s="46"/>
      <c r="J746" s="45"/>
      <c r="K746" s="47"/>
      <c r="L746" s="47"/>
      <c r="M746" s="47"/>
      <c r="N746" s="45"/>
    </row>
    <row r="747" customFormat="false" ht="18" hidden="false" customHeight="true" outlineLevel="0" collapsed="false">
      <c r="A747" s="44" t="str">
        <f aca="false">IF(B747="","",ROW()-4)</f>
        <v/>
      </c>
      <c r="B747" s="45"/>
      <c r="C747" s="46"/>
      <c r="D747" s="46"/>
      <c r="E747" s="47"/>
      <c r="F747" s="44" t="str">
        <f aca="true">IF(OR(B747="",E747="",C747="Done",C747="Cancelled"),"",E747-TODAY())</f>
        <v/>
      </c>
      <c r="G747" s="48" t="str">
        <f aca="true">IF(OR(B747="",C747="Done",C747="Cancelled"),"",IF(AND(E747&lt;&gt;"",E747&lt;TODAY()),"OVERDUE",IF(AND(E747&lt;&gt;"",E747=TODAY()),"DUE TODAY",IF(AND(K747&lt;&gt;"",K747&lt;=TODAY()),"FOLLOW UP",IF(AND(E747&lt;&gt;"",E747&lt;=TODAY()+3),"DUE SOON",IF(E747="","NO DUE DATE",""))))))</f>
        <v/>
      </c>
      <c r="H747" s="45"/>
      <c r="I747" s="46"/>
      <c r="J747" s="45"/>
      <c r="K747" s="47"/>
      <c r="L747" s="47"/>
      <c r="M747" s="47"/>
      <c r="N747" s="45"/>
    </row>
    <row r="748" customFormat="false" ht="18" hidden="false" customHeight="true" outlineLevel="0" collapsed="false">
      <c r="A748" s="44" t="str">
        <f aca="false">IF(B748="","",ROW()-4)</f>
        <v/>
      </c>
      <c r="B748" s="45"/>
      <c r="C748" s="46"/>
      <c r="D748" s="46"/>
      <c r="E748" s="47"/>
      <c r="F748" s="44" t="str">
        <f aca="true">IF(OR(B748="",E748="",C748="Done",C748="Cancelled"),"",E748-TODAY())</f>
        <v/>
      </c>
      <c r="G748" s="48" t="str">
        <f aca="true">IF(OR(B748="",C748="Done",C748="Cancelled"),"",IF(AND(E748&lt;&gt;"",E748&lt;TODAY()),"OVERDUE",IF(AND(E748&lt;&gt;"",E748=TODAY()),"DUE TODAY",IF(AND(K748&lt;&gt;"",K748&lt;=TODAY()),"FOLLOW UP",IF(AND(E748&lt;&gt;"",E748&lt;=TODAY()+3),"DUE SOON",IF(E748="","NO DUE DATE",""))))))</f>
        <v/>
      </c>
      <c r="H748" s="45"/>
      <c r="I748" s="46"/>
      <c r="J748" s="45"/>
      <c r="K748" s="47"/>
      <c r="L748" s="47"/>
      <c r="M748" s="47"/>
      <c r="N748" s="45"/>
    </row>
    <row r="749" customFormat="false" ht="18" hidden="false" customHeight="true" outlineLevel="0" collapsed="false">
      <c r="A749" s="44" t="str">
        <f aca="false">IF(B749="","",ROW()-4)</f>
        <v/>
      </c>
      <c r="B749" s="45"/>
      <c r="C749" s="46"/>
      <c r="D749" s="46"/>
      <c r="E749" s="47"/>
      <c r="F749" s="44" t="str">
        <f aca="true">IF(OR(B749="",E749="",C749="Done",C749="Cancelled"),"",E749-TODAY())</f>
        <v/>
      </c>
      <c r="G749" s="48" t="str">
        <f aca="true">IF(OR(B749="",C749="Done",C749="Cancelled"),"",IF(AND(E749&lt;&gt;"",E749&lt;TODAY()),"OVERDUE",IF(AND(E749&lt;&gt;"",E749=TODAY()),"DUE TODAY",IF(AND(K749&lt;&gt;"",K749&lt;=TODAY()),"FOLLOW UP",IF(AND(E749&lt;&gt;"",E749&lt;=TODAY()+3),"DUE SOON",IF(E749="","NO DUE DATE",""))))))</f>
        <v/>
      </c>
      <c r="H749" s="45"/>
      <c r="I749" s="46"/>
      <c r="J749" s="45"/>
      <c r="K749" s="47"/>
      <c r="L749" s="47"/>
      <c r="M749" s="47"/>
      <c r="N749" s="45"/>
    </row>
    <row r="750" customFormat="false" ht="18" hidden="false" customHeight="true" outlineLevel="0" collapsed="false">
      <c r="A750" s="44" t="str">
        <f aca="false">IF(B750="","",ROW()-4)</f>
        <v/>
      </c>
      <c r="B750" s="45"/>
      <c r="C750" s="46"/>
      <c r="D750" s="46"/>
      <c r="E750" s="47"/>
      <c r="F750" s="44" t="str">
        <f aca="true">IF(OR(B750="",E750="",C750="Done",C750="Cancelled"),"",E750-TODAY())</f>
        <v/>
      </c>
      <c r="G750" s="48" t="str">
        <f aca="true">IF(OR(B750="",C750="Done",C750="Cancelled"),"",IF(AND(E750&lt;&gt;"",E750&lt;TODAY()),"OVERDUE",IF(AND(E750&lt;&gt;"",E750=TODAY()),"DUE TODAY",IF(AND(K750&lt;&gt;"",K750&lt;=TODAY()),"FOLLOW UP",IF(AND(E750&lt;&gt;"",E750&lt;=TODAY()+3),"DUE SOON",IF(E750="","NO DUE DATE",""))))))</f>
        <v/>
      </c>
      <c r="H750" s="45"/>
      <c r="I750" s="46"/>
      <c r="J750" s="45"/>
      <c r="K750" s="47"/>
      <c r="L750" s="47"/>
      <c r="M750" s="47"/>
      <c r="N750" s="45"/>
    </row>
    <row r="751" customFormat="false" ht="18" hidden="false" customHeight="true" outlineLevel="0" collapsed="false">
      <c r="A751" s="44" t="str">
        <f aca="false">IF(B751="","",ROW()-4)</f>
        <v/>
      </c>
      <c r="B751" s="45"/>
      <c r="C751" s="46"/>
      <c r="D751" s="46"/>
      <c r="E751" s="47"/>
      <c r="F751" s="44" t="str">
        <f aca="true">IF(OR(B751="",E751="",C751="Done",C751="Cancelled"),"",E751-TODAY())</f>
        <v/>
      </c>
      <c r="G751" s="48" t="str">
        <f aca="true">IF(OR(B751="",C751="Done",C751="Cancelled"),"",IF(AND(E751&lt;&gt;"",E751&lt;TODAY()),"OVERDUE",IF(AND(E751&lt;&gt;"",E751=TODAY()),"DUE TODAY",IF(AND(K751&lt;&gt;"",K751&lt;=TODAY()),"FOLLOW UP",IF(AND(E751&lt;&gt;"",E751&lt;=TODAY()+3),"DUE SOON",IF(E751="","NO DUE DATE",""))))))</f>
        <v/>
      </c>
      <c r="H751" s="45"/>
      <c r="I751" s="46"/>
      <c r="J751" s="45"/>
      <c r="K751" s="47"/>
      <c r="L751" s="47"/>
      <c r="M751" s="47"/>
      <c r="N751" s="45"/>
    </row>
    <row r="752" customFormat="false" ht="18" hidden="false" customHeight="true" outlineLevel="0" collapsed="false">
      <c r="A752" s="44" t="str">
        <f aca="false">IF(B752="","",ROW()-4)</f>
        <v/>
      </c>
      <c r="B752" s="45"/>
      <c r="C752" s="46"/>
      <c r="D752" s="46"/>
      <c r="E752" s="47"/>
      <c r="F752" s="44" t="str">
        <f aca="true">IF(OR(B752="",E752="",C752="Done",C752="Cancelled"),"",E752-TODAY())</f>
        <v/>
      </c>
      <c r="G752" s="48" t="str">
        <f aca="true">IF(OR(B752="",C752="Done",C752="Cancelled"),"",IF(AND(E752&lt;&gt;"",E752&lt;TODAY()),"OVERDUE",IF(AND(E752&lt;&gt;"",E752=TODAY()),"DUE TODAY",IF(AND(K752&lt;&gt;"",K752&lt;=TODAY()),"FOLLOW UP",IF(AND(E752&lt;&gt;"",E752&lt;=TODAY()+3),"DUE SOON",IF(E752="","NO DUE DATE",""))))))</f>
        <v/>
      </c>
      <c r="H752" s="45"/>
      <c r="I752" s="46"/>
      <c r="J752" s="45"/>
      <c r="K752" s="47"/>
      <c r="L752" s="47"/>
      <c r="M752" s="47"/>
      <c r="N752" s="45"/>
    </row>
    <row r="753" customFormat="false" ht="18" hidden="false" customHeight="true" outlineLevel="0" collapsed="false">
      <c r="A753" s="44" t="str">
        <f aca="false">IF(B753="","",ROW()-4)</f>
        <v/>
      </c>
      <c r="B753" s="45"/>
      <c r="C753" s="46"/>
      <c r="D753" s="46"/>
      <c r="E753" s="47"/>
      <c r="F753" s="44" t="str">
        <f aca="true">IF(OR(B753="",E753="",C753="Done",C753="Cancelled"),"",E753-TODAY())</f>
        <v/>
      </c>
      <c r="G753" s="48" t="str">
        <f aca="true">IF(OR(B753="",C753="Done",C753="Cancelled"),"",IF(AND(E753&lt;&gt;"",E753&lt;TODAY()),"OVERDUE",IF(AND(E753&lt;&gt;"",E753=TODAY()),"DUE TODAY",IF(AND(K753&lt;&gt;"",K753&lt;=TODAY()),"FOLLOW UP",IF(AND(E753&lt;&gt;"",E753&lt;=TODAY()+3),"DUE SOON",IF(E753="","NO DUE DATE",""))))))</f>
        <v/>
      </c>
      <c r="H753" s="45"/>
      <c r="I753" s="46"/>
      <c r="J753" s="45"/>
      <c r="K753" s="47"/>
      <c r="L753" s="47"/>
      <c r="M753" s="47"/>
      <c r="N753" s="45"/>
    </row>
    <row r="754" customFormat="false" ht="18" hidden="false" customHeight="true" outlineLevel="0" collapsed="false">
      <c r="A754" s="44" t="str">
        <f aca="false">IF(B754="","",ROW()-4)</f>
        <v/>
      </c>
      <c r="B754" s="45"/>
      <c r="C754" s="46"/>
      <c r="D754" s="46"/>
      <c r="E754" s="47"/>
      <c r="F754" s="44" t="str">
        <f aca="true">IF(OR(B754="",E754="",C754="Done",C754="Cancelled"),"",E754-TODAY())</f>
        <v/>
      </c>
      <c r="G754" s="48" t="str">
        <f aca="true">IF(OR(B754="",C754="Done",C754="Cancelled"),"",IF(AND(E754&lt;&gt;"",E754&lt;TODAY()),"OVERDUE",IF(AND(E754&lt;&gt;"",E754=TODAY()),"DUE TODAY",IF(AND(K754&lt;&gt;"",K754&lt;=TODAY()),"FOLLOW UP",IF(AND(E754&lt;&gt;"",E754&lt;=TODAY()+3),"DUE SOON",IF(E754="","NO DUE DATE",""))))))</f>
        <v/>
      </c>
      <c r="H754" s="45"/>
      <c r="I754" s="46"/>
      <c r="J754" s="45"/>
      <c r="K754" s="47"/>
      <c r="L754" s="47"/>
      <c r="M754" s="47"/>
      <c r="N754" s="45"/>
    </row>
    <row r="755" customFormat="false" ht="18" hidden="false" customHeight="true" outlineLevel="0" collapsed="false">
      <c r="A755" s="44" t="str">
        <f aca="false">IF(B755="","",ROW()-4)</f>
        <v/>
      </c>
      <c r="B755" s="45"/>
      <c r="C755" s="46"/>
      <c r="D755" s="46"/>
      <c r="E755" s="47"/>
      <c r="F755" s="44" t="str">
        <f aca="true">IF(OR(B755="",E755="",C755="Done",C755="Cancelled"),"",E755-TODAY())</f>
        <v/>
      </c>
      <c r="G755" s="48" t="str">
        <f aca="true">IF(OR(B755="",C755="Done",C755="Cancelled"),"",IF(AND(E755&lt;&gt;"",E755&lt;TODAY()),"OVERDUE",IF(AND(E755&lt;&gt;"",E755=TODAY()),"DUE TODAY",IF(AND(K755&lt;&gt;"",K755&lt;=TODAY()),"FOLLOW UP",IF(AND(E755&lt;&gt;"",E755&lt;=TODAY()+3),"DUE SOON",IF(E755="","NO DUE DATE",""))))))</f>
        <v/>
      </c>
      <c r="H755" s="45"/>
      <c r="I755" s="46"/>
      <c r="J755" s="45"/>
      <c r="K755" s="47"/>
      <c r="L755" s="47"/>
      <c r="M755" s="47"/>
      <c r="N755" s="45"/>
    </row>
    <row r="756" customFormat="false" ht="18" hidden="false" customHeight="true" outlineLevel="0" collapsed="false">
      <c r="A756" s="44" t="str">
        <f aca="false">IF(B756="","",ROW()-4)</f>
        <v/>
      </c>
      <c r="B756" s="45"/>
      <c r="C756" s="46"/>
      <c r="D756" s="46"/>
      <c r="E756" s="47"/>
      <c r="F756" s="44" t="str">
        <f aca="true">IF(OR(B756="",E756="",C756="Done",C756="Cancelled"),"",E756-TODAY())</f>
        <v/>
      </c>
      <c r="G756" s="48" t="str">
        <f aca="true">IF(OR(B756="",C756="Done",C756="Cancelled"),"",IF(AND(E756&lt;&gt;"",E756&lt;TODAY()),"OVERDUE",IF(AND(E756&lt;&gt;"",E756=TODAY()),"DUE TODAY",IF(AND(K756&lt;&gt;"",K756&lt;=TODAY()),"FOLLOW UP",IF(AND(E756&lt;&gt;"",E756&lt;=TODAY()+3),"DUE SOON",IF(E756="","NO DUE DATE",""))))))</f>
        <v/>
      </c>
      <c r="H756" s="45"/>
      <c r="I756" s="46"/>
      <c r="J756" s="45"/>
      <c r="K756" s="47"/>
      <c r="L756" s="47"/>
      <c r="M756" s="47"/>
      <c r="N756" s="45"/>
    </row>
    <row r="757" customFormat="false" ht="18" hidden="false" customHeight="true" outlineLevel="0" collapsed="false">
      <c r="A757" s="44" t="str">
        <f aca="false">IF(B757="","",ROW()-4)</f>
        <v/>
      </c>
      <c r="B757" s="45"/>
      <c r="C757" s="46"/>
      <c r="D757" s="46"/>
      <c r="E757" s="47"/>
      <c r="F757" s="44" t="str">
        <f aca="true">IF(OR(B757="",E757="",C757="Done",C757="Cancelled"),"",E757-TODAY())</f>
        <v/>
      </c>
      <c r="G757" s="48" t="str">
        <f aca="true">IF(OR(B757="",C757="Done",C757="Cancelled"),"",IF(AND(E757&lt;&gt;"",E757&lt;TODAY()),"OVERDUE",IF(AND(E757&lt;&gt;"",E757=TODAY()),"DUE TODAY",IF(AND(K757&lt;&gt;"",K757&lt;=TODAY()),"FOLLOW UP",IF(AND(E757&lt;&gt;"",E757&lt;=TODAY()+3),"DUE SOON",IF(E757="","NO DUE DATE",""))))))</f>
        <v/>
      </c>
      <c r="H757" s="45"/>
      <c r="I757" s="46"/>
      <c r="J757" s="45"/>
      <c r="K757" s="47"/>
      <c r="L757" s="47"/>
      <c r="M757" s="47"/>
      <c r="N757" s="45"/>
    </row>
    <row r="758" customFormat="false" ht="18" hidden="false" customHeight="true" outlineLevel="0" collapsed="false">
      <c r="A758" s="44" t="str">
        <f aca="false">IF(B758="","",ROW()-4)</f>
        <v/>
      </c>
      <c r="B758" s="45"/>
      <c r="C758" s="46"/>
      <c r="D758" s="46"/>
      <c r="E758" s="47"/>
      <c r="F758" s="44" t="str">
        <f aca="true">IF(OR(B758="",E758="",C758="Done",C758="Cancelled"),"",E758-TODAY())</f>
        <v/>
      </c>
      <c r="G758" s="48" t="str">
        <f aca="true">IF(OR(B758="",C758="Done",C758="Cancelled"),"",IF(AND(E758&lt;&gt;"",E758&lt;TODAY()),"OVERDUE",IF(AND(E758&lt;&gt;"",E758=TODAY()),"DUE TODAY",IF(AND(K758&lt;&gt;"",K758&lt;=TODAY()),"FOLLOW UP",IF(AND(E758&lt;&gt;"",E758&lt;=TODAY()+3),"DUE SOON",IF(E758="","NO DUE DATE",""))))))</f>
        <v/>
      </c>
      <c r="H758" s="45"/>
      <c r="I758" s="46"/>
      <c r="J758" s="45"/>
      <c r="K758" s="47"/>
      <c r="L758" s="47"/>
      <c r="M758" s="47"/>
      <c r="N758" s="45"/>
    </row>
    <row r="759" customFormat="false" ht="18" hidden="false" customHeight="true" outlineLevel="0" collapsed="false">
      <c r="A759" s="44" t="str">
        <f aca="false">IF(B759="","",ROW()-4)</f>
        <v/>
      </c>
      <c r="B759" s="45"/>
      <c r="C759" s="46"/>
      <c r="D759" s="46"/>
      <c r="E759" s="47"/>
      <c r="F759" s="44" t="str">
        <f aca="true">IF(OR(B759="",E759="",C759="Done",C759="Cancelled"),"",E759-TODAY())</f>
        <v/>
      </c>
      <c r="G759" s="48" t="str">
        <f aca="true">IF(OR(B759="",C759="Done",C759="Cancelled"),"",IF(AND(E759&lt;&gt;"",E759&lt;TODAY()),"OVERDUE",IF(AND(E759&lt;&gt;"",E759=TODAY()),"DUE TODAY",IF(AND(K759&lt;&gt;"",K759&lt;=TODAY()),"FOLLOW UP",IF(AND(E759&lt;&gt;"",E759&lt;=TODAY()+3),"DUE SOON",IF(E759="","NO DUE DATE",""))))))</f>
        <v/>
      </c>
      <c r="H759" s="45"/>
      <c r="I759" s="46"/>
      <c r="J759" s="45"/>
      <c r="K759" s="47"/>
      <c r="L759" s="47"/>
      <c r="M759" s="47"/>
      <c r="N759" s="45"/>
    </row>
    <row r="760" customFormat="false" ht="18" hidden="false" customHeight="true" outlineLevel="0" collapsed="false">
      <c r="A760" s="44" t="str">
        <f aca="false">IF(B760="","",ROW()-4)</f>
        <v/>
      </c>
      <c r="B760" s="45"/>
      <c r="C760" s="46"/>
      <c r="D760" s="46"/>
      <c r="E760" s="47"/>
      <c r="F760" s="44" t="str">
        <f aca="true">IF(OR(B760="",E760="",C760="Done",C760="Cancelled"),"",E760-TODAY())</f>
        <v/>
      </c>
      <c r="G760" s="48" t="str">
        <f aca="true">IF(OR(B760="",C760="Done",C760="Cancelled"),"",IF(AND(E760&lt;&gt;"",E760&lt;TODAY()),"OVERDUE",IF(AND(E760&lt;&gt;"",E760=TODAY()),"DUE TODAY",IF(AND(K760&lt;&gt;"",K760&lt;=TODAY()),"FOLLOW UP",IF(AND(E760&lt;&gt;"",E760&lt;=TODAY()+3),"DUE SOON",IF(E760="","NO DUE DATE",""))))))</f>
        <v/>
      </c>
      <c r="H760" s="45"/>
      <c r="I760" s="46"/>
      <c r="J760" s="45"/>
      <c r="K760" s="47"/>
      <c r="L760" s="47"/>
      <c r="M760" s="47"/>
      <c r="N760" s="45"/>
    </row>
    <row r="761" customFormat="false" ht="18" hidden="false" customHeight="true" outlineLevel="0" collapsed="false">
      <c r="A761" s="44" t="str">
        <f aca="false">IF(B761="","",ROW()-4)</f>
        <v/>
      </c>
      <c r="B761" s="45"/>
      <c r="C761" s="46"/>
      <c r="D761" s="46"/>
      <c r="E761" s="47"/>
      <c r="F761" s="44" t="str">
        <f aca="true">IF(OR(B761="",E761="",C761="Done",C761="Cancelled"),"",E761-TODAY())</f>
        <v/>
      </c>
      <c r="G761" s="48" t="str">
        <f aca="true">IF(OR(B761="",C761="Done",C761="Cancelled"),"",IF(AND(E761&lt;&gt;"",E761&lt;TODAY()),"OVERDUE",IF(AND(E761&lt;&gt;"",E761=TODAY()),"DUE TODAY",IF(AND(K761&lt;&gt;"",K761&lt;=TODAY()),"FOLLOW UP",IF(AND(E761&lt;&gt;"",E761&lt;=TODAY()+3),"DUE SOON",IF(E761="","NO DUE DATE",""))))))</f>
        <v/>
      </c>
      <c r="H761" s="45"/>
      <c r="I761" s="46"/>
      <c r="J761" s="45"/>
      <c r="K761" s="47"/>
      <c r="L761" s="47"/>
      <c r="M761" s="47"/>
      <c r="N761" s="45"/>
    </row>
    <row r="762" customFormat="false" ht="18" hidden="false" customHeight="true" outlineLevel="0" collapsed="false">
      <c r="A762" s="44" t="str">
        <f aca="false">IF(B762="","",ROW()-4)</f>
        <v/>
      </c>
      <c r="B762" s="45"/>
      <c r="C762" s="46"/>
      <c r="D762" s="46"/>
      <c r="E762" s="47"/>
      <c r="F762" s="44" t="str">
        <f aca="true">IF(OR(B762="",E762="",C762="Done",C762="Cancelled"),"",E762-TODAY())</f>
        <v/>
      </c>
      <c r="G762" s="48" t="str">
        <f aca="true">IF(OR(B762="",C762="Done",C762="Cancelled"),"",IF(AND(E762&lt;&gt;"",E762&lt;TODAY()),"OVERDUE",IF(AND(E762&lt;&gt;"",E762=TODAY()),"DUE TODAY",IF(AND(K762&lt;&gt;"",K762&lt;=TODAY()),"FOLLOW UP",IF(AND(E762&lt;&gt;"",E762&lt;=TODAY()+3),"DUE SOON",IF(E762="","NO DUE DATE",""))))))</f>
        <v/>
      </c>
      <c r="H762" s="45"/>
      <c r="I762" s="46"/>
      <c r="J762" s="45"/>
      <c r="K762" s="47"/>
      <c r="L762" s="47"/>
      <c r="M762" s="47"/>
      <c r="N762" s="45"/>
    </row>
    <row r="763" customFormat="false" ht="18" hidden="false" customHeight="true" outlineLevel="0" collapsed="false">
      <c r="A763" s="44" t="str">
        <f aca="false">IF(B763="","",ROW()-4)</f>
        <v/>
      </c>
      <c r="B763" s="45"/>
      <c r="C763" s="46"/>
      <c r="D763" s="46"/>
      <c r="E763" s="47"/>
      <c r="F763" s="44" t="str">
        <f aca="true">IF(OR(B763="",E763="",C763="Done",C763="Cancelled"),"",E763-TODAY())</f>
        <v/>
      </c>
      <c r="G763" s="48" t="str">
        <f aca="true">IF(OR(B763="",C763="Done",C763="Cancelled"),"",IF(AND(E763&lt;&gt;"",E763&lt;TODAY()),"OVERDUE",IF(AND(E763&lt;&gt;"",E763=TODAY()),"DUE TODAY",IF(AND(K763&lt;&gt;"",K763&lt;=TODAY()),"FOLLOW UP",IF(AND(E763&lt;&gt;"",E763&lt;=TODAY()+3),"DUE SOON",IF(E763="","NO DUE DATE",""))))))</f>
        <v/>
      </c>
      <c r="H763" s="45"/>
      <c r="I763" s="46"/>
      <c r="J763" s="45"/>
      <c r="K763" s="47"/>
      <c r="L763" s="47"/>
      <c r="M763" s="47"/>
      <c r="N763" s="45"/>
    </row>
    <row r="764" customFormat="false" ht="18" hidden="false" customHeight="true" outlineLevel="0" collapsed="false">
      <c r="A764" s="44" t="str">
        <f aca="false">IF(B764="","",ROW()-4)</f>
        <v/>
      </c>
      <c r="B764" s="45"/>
      <c r="C764" s="46"/>
      <c r="D764" s="46"/>
      <c r="E764" s="47"/>
      <c r="F764" s="44" t="str">
        <f aca="true">IF(OR(B764="",E764="",C764="Done",C764="Cancelled"),"",E764-TODAY())</f>
        <v/>
      </c>
      <c r="G764" s="48" t="str">
        <f aca="true">IF(OR(B764="",C764="Done",C764="Cancelled"),"",IF(AND(E764&lt;&gt;"",E764&lt;TODAY()),"OVERDUE",IF(AND(E764&lt;&gt;"",E764=TODAY()),"DUE TODAY",IF(AND(K764&lt;&gt;"",K764&lt;=TODAY()),"FOLLOW UP",IF(AND(E764&lt;&gt;"",E764&lt;=TODAY()+3),"DUE SOON",IF(E764="","NO DUE DATE",""))))))</f>
        <v/>
      </c>
      <c r="H764" s="45"/>
      <c r="I764" s="46"/>
      <c r="J764" s="45"/>
      <c r="K764" s="47"/>
      <c r="L764" s="47"/>
      <c r="M764" s="47"/>
      <c r="N764" s="45"/>
    </row>
    <row r="765" customFormat="false" ht="18" hidden="false" customHeight="true" outlineLevel="0" collapsed="false">
      <c r="A765" s="44" t="str">
        <f aca="false">IF(B765="","",ROW()-4)</f>
        <v/>
      </c>
      <c r="B765" s="45"/>
      <c r="C765" s="46"/>
      <c r="D765" s="46"/>
      <c r="E765" s="47"/>
      <c r="F765" s="44" t="str">
        <f aca="true">IF(OR(B765="",E765="",C765="Done",C765="Cancelled"),"",E765-TODAY())</f>
        <v/>
      </c>
      <c r="G765" s="48" t="str">
        <f aca="true">IF(OR(B765="",C765="Done",C765="Cancelled"),"",IF(AND(E765&lt;&gt;"",E765&lt;TODAY()),"OVERDUE",IF(AND(E765&lt;&gt;"",E765=TODAY()),"DUE TODAY",IF(AND(K765&lt;&gt;"",K765&lt;=TODAY()),"FOLLOW UP",IF(AND(E765&lt;&gt;"",E765&lt;=TODAY()+3),"DUE SOON",IF(E765="","NO DUE DATE",""))))))</f>
        <v/>
      </c>
      <c r="H765" s="45"/>
      <c r="I765" s="46"/>
      <c r="J765" s="45"/>
      <c r="K765" s="47"/>
      <c r="L765" s="47"/>
      <c r="M765" s="47"/>
      <c r="N765" s="45"/>
    </row>
    <row r="766" customFormat="false" ht="18" hidden="false" customHeight="true" outlineLevel="0" collapsed="false">
      <c r="A766" s="44" t="str">
        <f aca="false">IF(B766="","",ROW()-4)</f>
        <v/>
      </c>
      <c r="B766" s="45"/>
      <c r="C766" s="46"/>
      <c r="D766" s="46"/>
      <c r="E766" s="47"/>
      <c r="F766" s="44" t="str">
        <f aca="true">IF(OR(B766="",E766="",C766="Done",C766="Cancelled"),"",E766-TODAY())</f>
        <v/>
      </c>
      <c r="G766" s="48" t="str">
        <f aca="true">IF(OR(B766="",C766="Done",C766="Cancelled"),"",IF(AND(E766&lt;&gt;"",E766&lt;TODAY()),"OVERDUE",IF(AND(E766&lt;&gt;"",E766=TODAY()),"DUE TODAY",IF(AND(K766&lt;&gt;"",K766&lt;=TODAY()),"FOLLOW UP",IF(AND(E766&lt;&gt;"",E766&lt;=TODAY()+3),"DUE SOON",IF(E766="","NO DUE DATE",""))))))</f>
        <v/>
      </c>
      <c r="H766" s="45"/>
      <c r="I766" s="46"/>
      <c r="J766" s="45"/>
      <c r="K766" s="47"/>
      <c r="L766" s="47"/>
      <c r="M766" s="47"/>
      <c r="N766" s="45"/>
    </row>
    <row r="767" customFormat="false" ht="18" hidden="false" customHeight="true" outlineLevel="0" collapsed="false">
      <c r="A767" s="44" t="str">
        <f aca="false">IF(B767="","",ROW()-4)</f>
        <v/>
      </c>
      <c r="B767" s="45"/>
      <c r="C767" s="46"/>
      <c r="D767" s="46"/>
      <c r="E767" s="47"/>
      <c r="F767" s="44" t="str">
        <f aca="true">IF(OR(B767="",E767="",C767="Done",C767="Cancelled"),"",E767-TODAY())</f>
        <v/>
      </c>
      <c r="G767" s="48" t="str">
        <f aca="true">IF(OR(B767="",C767="Done",C767="Cancelled"),"",IF(AND(E767&lt;&gt;"",E767&lt;TODAY()),"OVERDUE",IF(AND(E767&lt;&gt;"",E767=TODAY()),"DUE TODAY",IF(AND(K767&lt;&gt;"",K767&lt;=TODAY()),"FOLLOW UP",IF(AND(E767&lt;&gt;"",E767&lt;=TODAY()+3),"DUE SOON",IF(E767="","NO DUE DATE",""))))))</f>
        <v/>
      </c>
      <c r="H767" s="45"/>
      <c r="I767" s="46"/>
      <c r="J767" s="45"/>
      <c r="K767" s="47"/>
      <c r="L767" s="47"/>
      <c r="M767" s="47"/>
      <c r="N767" s="45"/>
    </row>
    <row r="768" customFormat="false" ht="18" hidden="false" customHeight="true" outlineLevel="0" collapsed="false">
      <c r="A768" s="44" t="str">
        <f aca="false">IF(B768="","",ROW()-4)</f>
        <v/>
      </c>
      <c r="B768" s="45"/>
      <c r="C768" s="46"/>
      <c r="D768" s="46"/>
      <c r="E768" s="47"/>
      <c r="F768" s="44" t="str">
        <f aca="true">IF(OR(B768="",E768="",C768="Done",C768="Cancelled"),"",E768-TODAY())</f>
        <v/>
      </c>
      <c r="G768" s="48" t="str">
        <f aca="true">IF(OR(B768="",C768="Done",C768="Cancelled"),"",IF(AND(E768&lt;&gt;"",E768&lt;TODAY()),"OVERDUE",IF(AND(E768&lt;&gt;"",E768=TODAY()),"DUE TODAY",IF(AND(K768&lt;&gt;"",K768&lt;=TODAY()),"FOLLOW UP",IF(AND(E768&lt;&gt;"",E768&lt;=TODAY()+3),"DUE SOON",IF(E768="","NO DUE DATE",""))))))</f>
        <v/>
      </c>
      <c r="H768" s="45"/>
      <c r="I768" s="46"/>
      <c r="J768" s="45"/>
      <c r="K768" s="47"/>
      <c r="L768" s="47"/>
      <c r="M768" s="47"/>
      <c r="N768" s="45"/>
    </row>
    <row r="769" customFormat="false" ht="18" hidden="false" customHeight="true" outlineLevel="0" collapsed="false">
      <c r="A769" s="44" t="str">
        <f aca="false">IF(B769="","",ROW()-4)</f>
        <v/>
      </c>
      <c r="B769" s="45"/>
      <c r="C769" s="46"/>
      <c r="D769" s="46"/>
      <c r="E769" s="47"/>
      <c r="F769" s="44" t="str">
        <f aca="true">IF(OR(B769="",E769="",C769="Done",C769="Cancelled"),"",E769-TODAY())</f>
        <v/>
      </c>
      <c r="G769" s="48" t="str">
        <f aca="true">IF(OR(B769="",C769="Done",C769="Cancelled"),"",IF(AND(E769&lt;&gt;"",E769&lt;TODAY()),"OVERDUE",IF(AND(E769&lt;&gt;"",E769=TODAY()),"DUE TODAY",IF(AND(K769&lt;&gt;"",K769&lt;=TODAY()),"FOLLOW UP",IF(AND(E769&lt;&gt;"",E769&lt;=TODAY()+3),"DUE SOON",IF(E769="","NO DUE DATE",""))))))</f>
        <v/>
      </c>
      <c r="H769" s="45"/>
      <c r="I769" s="46"/>
      <c r="J769" s="45"/>
      <c r="K769" s="47"/>
      <c r="L769" s="47"/>
      <c r="M769" s="47"/>
      <c r="N769" s="45"/>
    </row>
    <row r="770" customFormat="false" ht="18" hidden="false" customHeight="true" outlineLevel="0" collapsed="false">
      <c r="A770" s="44" t="str">
        <f aca="false">IF(B770="","",ROW()-4)</f>
        <v/>
      </c>
      <c r="B770" s="45"/>
      <c r="C770" s="46"/>
      <c r="D770" s="46"/>
      <c r="E770" s="47"/>
      <c r="F770" s="44" t="str">
        <f aca="true">IF(OR(B770="",E770="",C770="Done",C770="Cancelled"),"",E770-TODAY())</f>
        <v/>
      </c>
      <c r="G770" s="48" t="str">
        <f aca="true">IF(OR(B770="",C770="Done",C770="Cancelled"),"",IF(AND(E770&lt;&gt;"",E770&lt;TODAY()),"OVERDUE",IF(AND(E770&lt;&gt;"",E770=TODAY()),"DUE TODAY",IF(AND(K770&lt;&gt;"",K770&lt;=TODAY()),"FOLLOW UP",IF(AND(E770&lt;&gt;"",E770&lt;=TODAY()+3),"DUE SOON",IF(E770="","NO DUE DATE",""))))))</f>
        <v/>
      </c>
      <c r="H770" s="45"/>
      <c r="I770" s="46"/>
      <c r="J770" s="45"/>
      <c r="K770" s="47"/>
      <c r="L770" s="47"/>
      <c r="M770" s="47"/>
      <c r="N770" s="45"/>
    </row>
    <row r="771" customFormat="false" ht="18" hidden="false" customHeight="true" outlineLevel="0" collapsed="false">
      <c r="A771" s="44" t="str">
        <f aca="false">IF(B771="","",ROW()-4)</f>
        <v/>
      </c>
      <c r="B771" s="45"/>
      <c r="C771" s="46"/>
      <c r="D771" s="46"/>
      <c r="E771" s="47"/>
      <c r="F771" s="44" t="str">
        <f aca="true">IF(OR(B771="",E771="",C771="Done",C771="Cancelled"),"",E771-TODAY())</f>
        <v/>
      </c>
      <c r="G771" s="48" t="str">
        <f aca="true">IF(OR(B771="",C771="Done",C771="Cancelled"),"",IF(AND(E771&lt;&gt;"",E771&lt;TODAY()),"OVERDUE",IF(AND(E771&lt;&gt;"",E771=TODAY()),"DUE TODAY",IF(AND(K771&lt;&gt;"",K771&lt;=TODAY()),"FOLLOW UP",IF(AND(E771&lt;&gt;"",E771&lt;=TODAY()+3),"DUE SOON",IF(E771="","NO DUE DATE",""))))))</f>
        <v/>
      </c>
      <c r="H771" s="45"/>
      <c r="I771" s="46"/>
      <c r="J771" s="45"/>
      <c r="K771" s="47"/>
      <c r="L771" s="47"/>
      <c r="M771" s="47"/>
      <c r="N771" s="45"/>
    </row>
    <row r="772" customFormat="false" ht="18" hidden="false" customHeight="true" outlineLevel="0" collapsed="false">
      <c r="A772" s="44" t="str">
        <f aca="false">IF(B772="","",ROW()-4)</f>
        <v/>
      </c>
      <c r="B772" s="45"/>
      <c r="C772" s="46"/>
      <c r="D772" s="46"/>
      <c r="E772" s="47"/>
      <c r="F772" s="44" t="str">
        <f aca="true">IF(OR(B772="",E772="",C772="Done",C772="Cancelled"),"",E772-TODAY())</f>
        <v/>
      </c>
      <c r="G772" s="48" t="str">
        <f aca="true">IF(OR(B772="",C772="Done",C772="Cancelled"),"",IF(AND(E772&lt;&gt;"",E772&lt;TODAY()),"OVERDUE",IF(AND(E772&lt;&gt;"",E772=TODAY()),"DUE TODAY",IF(AND(K772&lt;&gt;"",K772&lt;=TODAY()),"FOLLOW UP",IF(AND(E772&lt;&gt;"",E772&lt;=TODAY()+3),"DUE SOON",IF(E772="","NO DUE DATE",""))))))</f>
        <v/>
      </c>
      <c r="H772" s="45"/>
      <c r="I772" s="46"/>
      <c r="J772" s="45"/>
      <c r="K772" s="47"/>
      <c r="L772" s="47"/>
      <c r="M772" s="47"/>
      <c r="N772" s="45"/>
    </row>
    <row r="773" customFormat="false" ht="18" hidden="false" customHeight="true" outlineLevel="0" collapsed="false">
      <c r="A773" s="44" t="str">
        <f aca="false">IF(B773="","",ROW()-4)</f>
        <v/>
      </c>
      <c r="B773" s="45"/>
      <c r="C773" s="46"/>
      <c r="D773" s="46"/>
      <c r="E773" s="47"/>
      <c r="F773" s="44" t="str">
        <f aca="true">IF(OR(B773="",E773="",C773="Done",C773="Cancelled"),"",E773-TODAY())</f>
        <v/>
      </c>
      <c r="G773" s="48" t="str">
        <f aca="true">IF(OR(B773="",C773="Done",C773="Cancelled"),"",IF(AND(E773&lt;&gt;"",E773&lt;TODAY()),"OVERDUE",IF(AND(E773&lt;&gt;"",E773=TODAY()),"DUE TODAY",IF(AND(K773&lt;&gt;"",K773&lt;=TODAY()),"FOLLOW UP",IF(AND(E773&lt;&gt;"",E773&lt;=TODAY()+3),"DUE SOON",IF(E773="","NO DUE DATE",""))))))</f>
        <v/>
      </c>
      <c r="H773" s="45"/>
      <c r="I773" s="46"/>
      <c r="J773" s="45"/>
      <c r="K773" s="47"/>
      <c r="L773" s="47"/>
      <c r="M773" s="47"/>
      <c r="N773" s="45"/>
    </row>
    <row r="774" customFormat="false" ht="18" hidden="false" customHeight="true" outlineLevel="0" collapsed="false">
      <c r="A774" s="44" t="str">
        <f aca="false">IF(B774="","",ROW()-4)</f>
        <v/>
      </c>
      <c r="B774" s="45"/>
      <c r="C774" s="46"/>
      <c r="D774" s="46"/>
      <c r="E774" s="47"/>
      <c r="F774" s="44" t="str">
        <f aca="true">IF(OR(B774="",E774="",C774="Done",C774="Cancelled"),"",E774-TODAY())</f>
        <v/>
      </c>
      <c r="G774" s="48" t="str">
        <f aca="true">IF(OR(B774="",C774="Done",C774="Cancelled"),"",IF(AND(E774&lt;&gt;"",E774&lt;TODAY()),"OVERDUE",IF(AND(E774&lt;&gt;"",E774=TODAY()),"DUE TODAY",IF(AND(K774&lt;&gt;"",K774&lt;=TODAY()),"FOLLOW UP",IF(AND(E774&lt;&gt;"",E774&lt;=TODAY()+3),"DUE SOON",IF(E774="","NO DUE DATE",""))))))</f>
        <v/>
      </c>
      <c r="H774" s="45"/>
      <c r="I774" s="46"/>
      <c r="J774" s="45"/>
      <c r="K774" s="47"/>
      <c r="L774" s="47"/>
      <c r="M774" s="47"/>
      <c r="N774" s="45"/>
    </row>
    <row r="775" customFormat="false" ht="18" hidden="false" customHeight="true" outlineLevel="0" collapsed="false">
      <c r="A775" s="44" t="str">
        <f aca="false">IF(B775="","",ROW()-4)</f>
        <v/>
      </c>
      <c r="B775" s="45"/>
      <c r="C775" s="46"/>
      <c r="D775" s="46"/>
      <c r="E775" s="47"/>
      <c r="F775" s="44" t="str">
        <f aca="true">IF(OR(B775="",E775="",C775="Done",C775="Cancelled"),"",E775-TODAY())</f>
        <v/>
      </c>
      <c r="G775" s="48" t="str">
        <f aca="true">IF(OR(B775="",C775="Done",C775="Cancelled"),"",IF(AND(E775&lt;&gt;"",E775&lt;TODAY()),"OVERDUE",IF(AND(E775&lt;&gt;"",E775=TODAY()),"DUE TODAY",IF(AND(K775&lt;&gt;"",K775&lt;=TODAY()),"FOLLOW UP",IF(AND(E775&lt;&gt;"",E775&lt;=TODAY()+3),"DUE SOON",IF(E775="","NO DUE DATE",""))))))</f>
        <v/>
      </c>
      <c r="H775" s="45"/>
      <c r="I775" s="46"/>
      <c r="J775" s="45"/>
      <c r="K775" s="47"/>
      <c r="L775" s="47"/>
      <c r="M775" s="47"/>
      <c r="N775" s="45"/>
    </row>
    <row r="776" customFormat="false" ht="18" hidden="false" customHeight="true" outlineLevel="0" collapsed="false">
      <c r="A776" s="44" t="str">
        <f aca="false">IF(B776="","",ROW()-4)</f>
        <v/>
      </c>
      <c r="B776" s="45"/>
      <c r="C776" s="46"/>
      <c r="D776" s="46"/>
      <c r="E776" s="47"/>
      <c r="F776" s="44" t="str">
        <f aca="true">IF(OR(B776="",E776="",C776="Done",C776="Cancelled"),"",E776-TODAY())</f>
        <v/>
      </c>
      <c r="G776" s="48" t="str">
        <f aca="true">IF(OR(B776="",C776="Done",C776="Cancelled"),"",IF(AND(E776&lt;&gt;"",E776&lt;TODAY()),"OVERDUE",IF(AND(E776&lt;&gt;"",E776=TODAY()),"DUE TODAY",IF(AND(K776&lt;&gt;"",K776&lt;=TODAY()),"FOLLOW UP",IF(AND(E776&lt;&gt;"",E776&lt;=TODAY()+3),"DUE SOON",IF(E776="","NO DUE DATE",""))))))</f>
        <v/>
      </c>
      <c r="H776" s="45"/>
      <c r="I776" s="46"/>
      <c r="J776" s="45"/>
      <c r="K776" s="47"/>
      <c r="L776" s="47"/>
      <c r="M776" s="47"/>
      <c r="N776" s="45"/>
    </row>
    <row r="777" customFormat="false" ht="18" hidden="false" customHeight="true" outlineLevel="0" collapsed="false">
      <c r="A777" s="44" t="str">
        <f aca="false">IF(B777="","",ROW()-4)</f>
        <v/>
      </c>
      <c r="B777" s="45"/>
      <c r="C777" s="46"/>
      <c r="D777" s="46"/>
      <c r="E777" s="47"/>
      <c r="F777" s="44" t="str">
        <f aca="true">IF(OR(B777="",E777="",C777="Done",C777="Cancelled"),"",E777-TODAY())</f>
        <v/>
      </c>
      <c r="G777" s="48" t="str">
        <f aca="true">IF(OR(B777="",C777="Done",C777="Cancelled"),"",IF(AND(E777&lt;&gt;"",E777&lt;TODAY()),"OVERDUE",IF(AND(E777&lt;&gt;"",E777=TODAY()),"DUE TODAY",IF(AND(K777&lt;&gt;"",K777&lt;=TODAY()),"FOLLOW UP",IF(AND(E777&lt;&gt;"",E777&lt;=TODAY()+3),"DUE SOON",IF(E777="","NO DUE DATE",""))))))</f>
        <v/>
      </c>
      <c r="H777" s="45"/>
      <c r="I777" s="46"/>
      <c r="J777" s="45"/>
      <c r="K777" s="47"/>
      <c r="L777" s="47"/>
      <c r="M777" s="47"/>
      <c r="N777" s="45"/>
    </row>
    <row r="778" customFormat="false" ht="18" hidden="false" customHeight="true" outlineLevel="0" collapsed="false">
      <c r="A778" s="44" t="str">
        <f aca="false">IF(B778="","",ROW()-4)</f>
        <v/>
      </c>
      <c r="B778" s="45"/>
      <c r="C778" s="46"/>
      <c r="D778" s="46"/>
      <c r="E778" s="47"/>
      <c r="F778" s="44" t="str">
        <f aca="true">IF(OR(B778="",E778="",C778="Done",C778="Cancelled"),"",E778-TODAY())</f>
        <v/>
      </c>
      <c r="G778" s="48" t="str">
        <f aca="true">IF(OR(B778="",C778="Done",C778="Cancelled"),"",IF(AND(E778&lt;&gt;"",E778&lt;TODAY()),"OVERDUE",IF(AND(E778&lt;&gt;"",E778=TODAY()),"DUE TODAY",IF(AND(K778&lt;&gt;"",K778&lt;=TODAY()),"FOLLOW UP",IF(AND(E778&lt;&gt;"",E778&lt;=TODAY()+3),"DUE SOON",IF(E778="","NO DUE DATE",""))))))</f>
        <v/>
      </c>
      <c r="H778" s="45"/>
      <c r="I778" s="46"/>
      <c r="J778" s="45"/>
      <c r="K778" s="47"/>
      <c r="L778" s="47"/>
      <c r="M778" s="47"/>
      <c r="N778" s="45"/>
    </row>
    <row r="779" customFormat="false" ht="18" hidden="false" customHeight="true" outlineLevel="0" collapsed="false">
      <c r="A779" s="44" t="str">
        <f aca="false">IF(B779="","",ROW()-4)</f>
        <v/>
      </c>
      <c r="B779" s="45"/>
      <c r="C779" s="46"/>
      <c r="D779" s="46"/>
      <c r="E779" s="47"/>
      <c r="F779" s="44" t="str">
        <f aca="true">IF(OR(B779="",E779="",C779="Done",C779="Cancelled"),"",E779-TODAY())</f>
        <v/>
      </c>
      <c r="G779" s="48" t="str">
        <f aca="true">IF(OR(B779="",C779="Done",C779="Cancelled"),"",IF(AND(E779&lt;&gt;"",E779&lt;TODAY()),"OVERDUE",IF(AND(E779&lt;&gt;"",E779=TODAY()),"DUE TODAY",IF(AND(K779&lt;&gt;"",K779&lt;=TODAY()),"FOLLOW UP",IF(AND(E779&lt;&gt;"",E779&lt;=TODAY()+3),"DUE SOON",IF(E779="","NO DUE DATE",""))))))</f>
        <v/>
      </c>
      <c r="H779" s="45"/>
      <c r="I779" s="46"/>
      <c r="J779" s="45"/>
      <c r="K779" s="47"/>
      <c r="L779" s="47"/>
      <c r="M779" s="47"/>
      <c r="N779" s="45"/>
    </row>
    <row r="780" customFormat="false" ht="18" hidden="false" customHeight="true" outlineLevel="0" collapsed="false">
      <c r="A780" s="44" t="str">
        <f aca="false">IF(B780="","",ROW()-4)</f>
        <v/>
      </c>
      <c r="B780" s="45"/>
      <c r="C780" s="46"/>
      <c r="D780" s="46"/>
      <c r="E780" s="47"/>
      <c r="F780" s="44" t="str">
        <f aca="true">IF(OR(B780="",E780="",C780="Done",C780="Cancelled"),"",E780-TODAY())</f>
        <v/>
      </c>
      <c r="G780" s="48" t="str">
        <f aca="true">IF(OR(B780="",C780="Done",C780="Cancelled"),"",IF(AND(E780&lt;&gt;"",E780&lt;TODAY()),"OVERDUE",IF(AND(E780&lt;&gt;"",E780=TODAY()),"DUE TODAY",IF(AND(K780&lt;&gt;"",K780&lt;=TODAY()),"FOLLOW UP",IF(AND(E780&lt;&gt;"",E780&lt;=TODAY()+3),"DUE SOON",IF(E780="","NO DUE DATE",""))))))</f>
        <v/>
      </c>
      <c r="H780" s="45"/>
      <c r="I780" s="46"/>
      <c r="J780" s="45"/>
      <c r="K780" s="47"/>
      <c r="L780" s="47"/>
      <c r="M780" s="47"/>
      <c r="N780" s="45"/>
    </row>
    <row r="781" customFormat="false" ht="18" hidden="false" customHeight="true" outlineLevel="0" collapsed="false">
      <c r="A781" s="44" t="str">
        <f aca="false">IF(B781="","",ROW()-4)</f>
        <v/>
      </c>
      <c r="B781" s="45"/>
      <c r="C781" s="46"/>
      <c r="D781" s="46"/>
      <c r="E781" s="47"/>
      <c r="F781" s="44" t="str">
        <f aca="true">IF(OR(B781="",E781="",C781="Done",C781="Cancelled"),"",E781-TODAY())</f>
        <v/>
      </c>
      <c r="G781" s="48" t="str">
        <f aca="true">IF(OR(B781="",C781="Done",C781="Cancelled"),"",IF(AND(E781&lt;&gt;"",E781&lt;TODAY()),"OVERDUE",IF(AND(E781&lt;&gt;"",E781=TODAY()),"DUE TODAY",IF(AND(K781&lt;&gt;"",K781&lt;=TODAY()),"FOLLOW UP",IF(AND(E781&lt;&gt;"",E781&lt;=TODAY()+3),"DUE SOON",IF(E781="","NO DUE DATE",""))))))</f>
        <v/>
      </c>
      <c r="H781" s="45"/>
      <c r="I781" s="46"/>
      <c r="J781" s="45"/>
      <c r="K781" s="47"/>
      <c r="L781" s="47"/>
      <c r="M781" s="47"/>
      <c r="N781" s="45"/>
    </row>
    <row r="782" customFormat="false" ht="18" hidden="false" customHeight="true" outlineLevel="0" collapsed="false">
      <c r="A782" s="44" t="str">
        <f aca="false">IF(B782="","",ROW()-4)</f>
        <v/>
      </c>
      <c r="B782" s="45"/>
      <c r="C782" s="46"/>
      <c r="D782" s="46"/>
      <c r="E782" s="47"/>
      <c r="F782" s="44" t="str">
        <f aca="true">IF(OR(B782="",E782="",C782="Done",C782="Cancelled"),"",E782-TODAY())</f>
        <v/>
      </c>
      <c r="G782" s="48" t="str">
        <f aca="true">IF(OR(B782="",C782="Done",C782="Cancelled"),"",IF(AND(E782&lt;&gt;"",E782&lt;TODAY()),"OVERDUE",IF(AND(E782&lt;&gt;"",E782=TODAY()),"DUE TODAY",IF(AND(K782&lt;&gt;"",K782&lt;=TODAY()),"FOLLOW UP",IF(AND(E782&lt;&gt;"",E782&lt;=TODAY()+3),"DUE SOON",IF(E782="","NO DUE DATE",""))))))</f>
        <v/>
      </c>
      <c r="H782" s="45"/>
      <c r="I782" s="46"/>
      <c r="J782" s="45"/>
      <c r="K782" s="47"/>
      <c r="L782" s="47"/>
      <c r="M782" s="47"/>
      <c r="N782" s="45"/>
    </row>
    <row r="783" customFormat="false" ht="18" hidden="false" customHeight="true" outlineLevel="0" collapsed="false">
      <c r="A783" s="44" t="str">
        <f aca="false">IF(B783="","",ROW()-4)</f>
        <v/>
      </c>
      <c r="B783" s="45"/>
      <c r="C783" s="46"/>
      <c r="D783" s="46"/>
      <c r="E783" s="47"/>
      <c r="F783" s="44" t="str">
        <f aca="true">IF(OR(B783="",E783="",C783="Done",C783="Cancelled"),"",E783-TODAY())</f>
        <v/>
      </c>
      <c r="G783" s="48" t="str">
        <f aca="true">IF(OR(B783="",C783="Done",C783="Cancelled"),"",IF(AND(E783&lt;&gt;"",E783&lt;TODAY()),"OVERDUE",IF(AND(E783&lt;&gt;"",E783=TODAY()),"DUE TODAY",IF(AND(K783&lt;&gt;"",K783&lt;=TODAY()),"FOLLOW UP",IF(AND(E783&lt;&gt;"",E783&lt;=TODAY()+3),"DUE SOON",IF(E783="","NO DUE DATE",""))))))</f>
        <v/>
      </c>
      <c r="H783" s="45"/>
      <c r="I783" s="46"/>
      <c r="J783" s="45"/>
      <c r="K783" s="47"/>
      <c r="L783" s="47"/>
      <c r="M783" s="47"/>
      <c r="N783" s="45"/>
    </row>
    <row r="784" customFormat="false" ht="18" hidden="false" customHeight="true" outlineLevel="0" collapsed="false">
      <c r="A784" s="44" t="str">
        <f aca="false">IF(B784="","",ROW()-4)</f>
        <v/>
      </c>
      <c r="B784" s="45"/>
      <c r="C784" s="46"/>
      <c r="D784" s="46"/>
      <c r="E784" s="47"/>
      <c r="F784" s="44" t="str">
        <f aca="true">IF(OR(B784="",E784="",C784="Done",C784="Cancelled"),"",E784-TODAY())</f>
        <v/>
      </c>
      <c r="G784" s="48" t="str">
        <f aca="true">IF(OR(B784="",C784="Done",C784="Cancelled"),"",IF(AND(E784&lt;&gt;"",E784&lt;TODAY()),"OVERDUE",IF(AND(E784&lt;&gt;"",E784=TODAY()),"DUE TODAY",IF(AND(K784&lt;&gt;"",K784&lt;=TODAY()),"FOLLOW UP",IF(AND(E784&lt;&gt;"",E784&lt;=TODAY()+3),"DUE SOON",IF(E784="","NO DUE DATE",""))))))</f>
        <v/>
      </c>
      <c r="H784" s="45"/>
      <c r="I784" s="46"/>
      <c r="J784" s="45"/>
      <c r="K784" s="47"/>
      <c r="L784" s="47"/>
      <c r="M784" s="47"/>
      <c r="N784" s="45"/>
    </row>
    <row r="785" customFormat="false" ht="18" hidden="false" customHeight="true" outlineLevel="0" collapsed="false">
      <c r="A785" s="44" t="str">
        <f aca="false">IF(B785="","",ROW()-4)</f>
        <v/>
      </c>
      <c r="B785" s="45"/>
      <c r="C785" s="46"/>
      <c r="D785" s="46"/>
      <c r="E785" s="47"/>
      <c r="F785" s="44" t="str">
        <f aca="true">IF(OR(B785="",E785="",C785="Done",C785="Cancelled"),"",E785-TODAY())</f>
        <v/>
      </c>
      <c r="G785" s="48" t="str">
        <f aca="true">IF(OR(B785="",C785="Done",C785="Cancelled"),"",IF(AND(E785&lt;&gt;"",E785&lt;TODAY()),"OVERDUE",IF(AND(E785&lt;&gt;"",E785=TODAY()),"DUE TODAY",IF(AND(K785&lt;&gt;"",K785&lt;=TODAY()),"FOLLOW UP",IF(AND(E785&lt;&gt;"",E785&lt;=TODAY()+3),"DUE SOON",IF(E785="","NO DUE DATE",""))))))</f>
        <v/>
      </c>
      <c r="H785" s="45"/>
      <c r="I785" s="46"/>
      <c r="J785" s="45"/>
      <c r="K785" s="47"/>
      <c r="L785" s="47"/>
      <c r="M785" s="47"/>
      <c r="N785" s="45"/>
    </row>
    <row r="786" customFormat="false" ht="18" hidden="false" customHeight="true" outlineLevel="0" collapsed="false">
      <c r="A786" s="44" t="str">
        <f aca="false">IF(B786="","",ROW()-4)</f>
        <v/>
      </c>
      <c r="B786" s="45"/>
      <c r="C786" s="46"/>
      <c r="D786" s="46"/>
      <c r="E786" s="47"/>
      <c r="F786" s="44" t="str">
        <f aca="true">IF(OR(B786="",E786="",C786="Done",C786="Cancelled"),"",E786-TODAY())</f>
        <v/>
      </c>
      <c r="G786" s="48" t="str">
        <f aca="true">IF(OR(B786="",C786="Done",C786="Cancelled"),"",IF(AND(E786&lt;&gt;"",E786&lt;TODAY()),"OVERDUE",IF(AND(E786&lt;&gt;"",E786=TODAY()),"DUE TODAY",IF(AND(K786&lt;&gt;"",K786&lt;=TODAY()),"FOLLOW UP",IF(AND(E786&lt;&gt;"",E786&lt;=TODAY()+3),"DUE SOON",IF(E786="","NO DUE DATE",""))))))</f>
        <v/>
      </c>
      <c r="H786" s="45"/>
      <c r="I786" s="46"/>
      <c r="J786" s="45"/>
      <c r="K786" s="47"/>
      <c r="L786" s="47"/>
      <c r="M786" s="47"/>
      <c r="N786" s="45"/>
    </row>
    <row r="787" customFormat="false" ht="18" hidden="false" customHeight="true" outlineLevel="0" collapsed="false">
      <c r="A787" s="44" t="str">
        <f aca="false">IF(B787="","",ROW()-4)</f>
        <v/>
      </c>
      <c r="B787" s="45"/>
      <c r="C787" s="46"/>
      <c r="D787" s="46"/>
      <c r="E787" s="47"/>
      <c r="F787" s="44" t="str">
        <f aca="true">IF(OR(B787="",E787="",C787="Done",C787="Cancelled"),"",E787-TODAY())</f>
        <v/>
      </c>
      <c r="G787" s="48" t="str">
        <f aca="true">IF(OR(B787="",C787="Done",C787="Cancelled"),"",IF(AND(E787&lt;&gt;"",E787&lt;TODAY()),"OVERDUE",IF(AND(E787&lt;&gt;"",E787=TODAY()),"DUE TODAY",IF(AND(K787&lt;&gt;"",K787&lt;=TODAY()),"FOLLOW UP",IF(AND(E787&lt;&gt;"",E787&lt;=TODAY()+3),"DUE SOON",IF(E787="","NO DUE DATE",""))))))</f>
        <v/>
      </c>
      <c r="H787" s="45"/>
      <c r="I787" s="46"/>
      <c r="J787" s="45"/>
      <c r="K787" s="47"/>
      <c r="L787" s="47"/>
      <c r="M787" s="47"/>
      <c r="N787" s="45"/>
    </row>
    <row r="788" customFormat="false" ht="18" hidden="false" customHeight="true" outlineLevel="0" collapsed="false">
      <c r="A788" s="44" t="str">
        <f aca="false">IF(B788="","",ROW()-4)</f>
        <v/>
      </c>
      <c r="B788" s="45"/>
      <c r="C788" s="46"/>
      <c r="D788" s="46"/>
      <c r="E788" s="47"/>
      <c r="F788" s="44" t="str">
        <f aca="true">IF(OR(B788="",E788="",C788="Done",C788="Cancelled"),"",E788-TODAY())</f>
        <v/>
      </c>
      <c r="G788" s="48" t="str">
        <f aca="true">IF(OR(B788="",C788="Done",C788="Cancelled"),"",IF(AND(E788&lt;&gt;"",E788&lt;TODAY()),"OVERDUE",IF(AND(E788&lt;&gt;"",E788=TODAY()),"DUE TODAY",IF(AND(K788&lt;&gt;"",K788&lt;=TODAY()),"FOLLOW UP",IF(AND(E788&lt;&gt;"",E788&lt;=TODAY()+3),"DUE SOON",IF(E788="","NO DUE DATE",""))))))</f>
        <v/>
      </c>
      <c r="H788" s="45"/>
      <c r="I788" s="46"/>
      <c r="J788" s="45"/>
      <c r="K788" s="47"/>
      <c r="L788" s="47"/>
      <c r="M788" s="47"/>
      <c r="N788" s="45"/>
    </row>
    <row r="789" customFormat="false" ht="18" hidden="false" customHeight="true" outlineLevel="0" collapsed="false">
      <c r="A789" s="44" t="str">
        <f aca="false">IF(B789="","",ROW()-4)</f>
        <v/>
      </c>
      <c r="B789" s="45"/>
      <c r="C789" s="46"/>
      <c r="D789" s="46"/>
      <c r="E789" s="47"/>
      <c r="F789" s="44" t="str">
        <f aca="true">IF(OR(B789="",E789="",C789="Done",C789="Cancelled"),"",E789-TODAY())</f>
        <v/>
      </c>
      <c r="G789" s="48" t="str">
        <f aca="true">IF(OR(B789="",C789="Done",C789="Cancelled"),"",IF(AND(E789&lt;&gt;"",E789&lt;TODAY()),"OVERDUE",IF(AND(E789&lt;&gt;"",E789=TODAY()),"DUE TODAY",IF(AND(K789&lt;&gt;"",K789&lt;=TODAY()),"FOLLOW UP",IF(AND(E789&lt;&gt;"",E789&lt;=TODAY()+3),"DUE SOON",IF(E789="","NO DUE DATE",""))))))</f>
        <v/>
      </c>
      <c r="H789" s="45"/>
      <c r="I789" s="46"/>
      <c r="J789" s="45"/>
      <c r="K789" s="47"/>
      <c r="L789" s="47"/>
      <c r="M789" s="47"/>
      <c r="N789" s="45"/>
    </row>
    <row r="790" customFormat="false" ht="18" hidden="false" customHeight="true" outlineLevel="0" collapsed="false">
      <c r="A790" s="44" t="str">
        <f aca="false">IF(B790="","",ROW()-4)</f>
        <v/>
      </c>
      <c r="B790" s="45"/>
      <c r="C790" s="46"/>
      <c r="D790" s="46"/>
      <c r="E790" s="47"/>
      <c r="F790" s="44" t="str">
        <f aca="true">IF(OR(B790="",E790="",C790="Done",C790="Cancelled"),"",E790-TODAY())</f>
        <v/>
      </c>
      <c r="G790" s="48" t="str">
        <f aca="true">IF(OR(B790="",C790="Done",C790="Cancelled"),"",IF(AND(E790&lt;&gt;"",E790&lt;TODAY()),"OVERDUE",IF(AND(E790&lt;&gt;"",E790=TODAY()),"DUE TODAY",IF(AND(K790&lt;&gt;"",K790&lt;=TODAY()),"FOLLOW UP",IF(AND(E790&lt;&gt;"",E790&lt;=TODAY()+3),"DUE SOON",IF(E790="","NO DUE DATE",""))))))</f>
        <v/>
      </c>
      <c r="H790" s="45"/>
      <c r="I790" s="46"/>
      <c r="J790" s="45"/>
      <c r="K790" s="47"/>
      <c r="L790" s="47"/>
      <c r="M790" s="47"/>
      <c r="N790" s="45"/>
    </row>
    <row r="791" customFormat="false" ht="18" hidden="false" customHeight="true" outlineLevel="0" collapsed="false">
      <c r="A791" s="44" t="str">
        <f aca="false">IF(B791="","",ROW()-4)</f>
        <v/>
      </c>
      <c r="B791" s="45"/>
      <c r="C791" s="46"/>
      <c r="D791" s="46"/>
      <c r="E791" s="47"/>
      <c r="F791" s="44" t="str">
        <f aca="true">IF(OR(B791="",E791="",C791="Done",C791="Cancelled"),"",E791-TODAY())</f>
        <v/>
      </c>
      <c r="G791" s="48" t="str">
        <f aca="true">IF(OR(B791="",C791="Done",C791="Cancelled"),"",IF(AND(E791&lt;&gt;"",E791&lt;TODAY()),"OVERDUE",IF(AND(E791&lt;&gt;"",E791=TODAY()),"DUE TODAY",IF(AND(K791&lt;&gt;"",K791&lt;=TODAY()),"FOLLOW UP",IF(AND(E791&lt;&gt;"",E791&lt;=TODAY()+3),"DUE SOON",IF(E791="","NO DUE DATE",""))))))</f>
        <v/>
      </c>
      <c r="H791" s="45"/>
      <c r="I791" s="46"/>
      <c r="J791" s="45"/>
      <c r="K791" s="47"/>
      <c r="L791" s="47"/>
      <c r="M791" s="47"/>
      <c r="N791" s="45"/>
    </row>
    <row r="792" customFormat="false" ht="18" hidden="false" customHeight="true" outlineLevel="0" collapsed="false">
      <c r="A792" s="44" t="str">
        <f aca="false">IF(B792="","",ROW()-4)</f>
        <v/>
      </c>
      <c r="B792" s="45"/>
      <c r="C792" s="46"/>
      <c r="D792" s="46"/>
      <c r="E792" s="47"/>
      <c r="F792" s="44" t="str">
        <f aca="true">IF(OR(B792="",E792="",C792="Done",C792="Cancelled"),"",E792-TODAY())</f>
        <v/>
      </c>
      <c r="G792" s="48" t="str">
        <f aca="true">IF(OR(B792="",C792="Done",C792="Cancelled"),"",IF(AND(E792&lt;&gt;"",E792&lt;TODAY()),"OVERDUE",IF(AND(E792&lt;&gt;"",E792=TODAY()),"DUE TODAY",IF(AND(K792&lt;&gt;"",K792&lt;=TODAY()),"FOLLOW UP",IF(AND(E792&lt;&gt;"",E792&lt;=TODAY()+3),"DUE SOON",IF(E792="","NO DUE DATE",""))))))</f>
        <v/>
      </c>
      <c r="H792" s="45"/>
      <c r="I792" s="46"/>
      <c r="J792" s="45"/>
      <c r="K792" s="47"/>
      <c r="L792" s="47"/>
      <c r="M792" s="47"/>
      <c r="N792" s="45"/>
    </row>
    <row r="793" customFormat="false" ht="18" hidden="false" customHeight="true" outlineLevel="0" collapsed="false">
      <c r="A793" s="44" t="str">
        <f aca="false">IF(B793="","",ROW()-4)</f>
        <v/>
      </c>
      <c r="B793" s="45"/>
      <c r="C793" s="46"/>
      <c r="D793" s="46"/>
      <c r="E793" s="47"/>
      <c r="F793" s="44" t="str">
        <f aca="true">IF(OR(B793="",E793="",C793="Done",C793="Cancelled"),"",E793-TODAY())</f>
        <v/>
      </c>
      <c r="G793" s="48" t="str">
        <f aca="true">IF(OR(B793="",C793="Done",C793="Cancelled"),"",IF(AND(E793&lt;&gt;"",E793&lt;TODAY()),"OVERDUE",IF(AND(E793&lt;&gt;"",E793=TODAY()),"DUE TODAY",IF(AND(K793&lt;&gt;"",K793&lt;=TODAY()),"FOLLOW UP",IF(AND(E793&lt;&gt;"",E793&lt;=TODAY()+3),"DUE SOON",IF(E793="","NO DUE DATE",""))))))</f>
        <v/>
      </c>
      <c r="H793" s="45"/>
      <c r="I793" s="46"/>
      <c r="J793" s="45"/>
      <c r="K793" s="47"/>
      <c r="L793" s="47"/>
      <c r="M793" s="47"/>
      <c r="N793" s="45"/>
    </row>
    <row r="794" customFormat="false" ht="18" hidden="false" customHeight="true" outlineLevel="0" collapsed="false">
      <c r="A794" s="44" t="str">
        <f aca="false">IF(B794="","",ROW()-4)</f>
        <v/>
      </c>
      <c r="B794" s="45"/>
      <c r="C794" s="46"/>
      <c r="D794" s="46"/>
      <c r="E794" s="47"/>
      <c r="F794" s="44" t="str">
        <f aca="true">IF(OR(B794="",E794="",C794="Done",C794="Cancelled"),"",E794-TODAY())</f>
        <v/>
      </c>
      <c r="G794" s="48" t="str">
        <f aca="true">IF(OR(B794="",C794="Done",C794="Cancelled"),"",IF(AND(E794&lt;&gt;"",E794&lt;TODAY()),"OVERDUE",IF(AND(E794&lt;&gt;"",E794=TODAY()),"DUE TODAY",IF(AND(K794&lt;&gt;"",K794&lt;=TODAY()),"FOLLOW UP",IF(AND(E794&lt;&gt;"",E794&lt;=TODAY()+3),"DUE SOON",IF(E794="","NO DUE DATE",""))))))</f>
        <v/>
      </c>
      <c r="H794" s="45"/>
      <c r="I794" s="46"/>
      <c r="J794" s="45"/>
      <c r="K794" s="47"/>
      <c r="L794" s="47"/>
      <c r="M794" s="47"/>
      <c r="N794" s="45"/>
    </row>
    <row r="795" customFormat="false" ht="18" hidden="false" customHeight="true" outlineLevel="0" collapsed="false">
      <c r="A795" s="44" t="str">
        <f aca="false">IF(B795="","",ROW()-4)</f>
        <v/>
      </c>
      <c r="B795" s="45"/>
      <c r="C795" s="46"/>
      <c r="D795" s="46"/>
      <c r="E795" s="47"/>
      <c r="F795" s="44" t="str">
        <f aca="true">IF(OR(B795="",E795="",C795="Done",C795="Cancelled"),"",E795-TODAY())</f>
        <v/>
      </c>
      <c r="G795" s="48" t="str">
        <f aca="true">IF(OR(B795="",C795="Done",C795="Cancelled"),"",IF(AND(E795&lt;&gt;"",E795&lt;TODAY()),"OVERDUE",IF(AND(E795&lt;&gt;"",E795=TODAY()),"DUE TODAY",IF(AND(K795&lt;&gt;"",K795&lt;=TODAY()),"FOLLOW UP",IF(AND(E795&lt;&gt;"",E795&lt;=TODAY()+3),"DUE SOON",IF(E795="","NO DUE DATE",""))))))</f>
        <v/>
      </c>
      <c r="H795" s="45"/>
      <c r="I795" s="46"/>
      <c r="J795" s="45"/>
      <c r="K795" s="47"/>
      <c r="L795" s="47"/>
      <c r="M795" s="47"/>
      <c r="N795" s="45"/>
    </row>
    <row r="796" customFormat="false" ht="18" hidden="false" customHeight="true" outlineLevel="0" collapsed="false">
      <c r="A796" s="44" t="str">
        <f aca="false">IF(B796="","",ROW()-4)</f>
        <v/>
      </c>
      <c r="B796" s="45"/>
      <c r="C796" s="46"/>
      <c r="D796" s="46"/>
      <c r="E796" s="47"/>
      <c r="F796" s="44" t="str">
        <f aca="true">IF(OR(B796="",E796="",C796="Done",C796="Cancelled"),"",E796-TODAY())</f>
        <v/>
      </c>
      <c r="G796" s="48" t="str">
        <f aca="true">IF(OR(B796="",C796="Done",C796="Cancelled"),"",IF(AND(E796&lt;&gt;"",E796&lt;TODAY()),"OVERDUE",IF(AND(E796&lt;&gt;"",E796=TODAY()),"DUE TODAY",IF(AND(K796&lt;&gt;"",K796&lt;=TODAY()),"FOLLOW UP",IF(AND(E796&lt;&gt;"",E796&lt;=TODAY()+3),"DUE SOON",IF(E796="","NO DUE DATE",""))))))</f>
        <v/>
      </c>
      <c r="H796" s="45"/>
      <c r="I796" s="46"/>
      <c r="J796" s="45"/>
      <c r="K796" s="47"/>
      <c r="L796" s="47"/>
      <c r="M796" s="47"/>
      <c r="N796" s="45"/>
    </row>
    <row r="797" customFormat="false" ht="18" hidden="false" customHeight="true" outlineLevel="0" collapsed="false">
      <c r="A797" s="44" t="str">
        <f aca="false">IF(B797="","",ROW()-4)</f>
        <v/>
      </c>
      <c r="B797" s="45"/>
      <c r="C797" s="46"/>
      <c r="D797" s="46"/>
      <c r="E797" s="47"/>
      <c r="F797" s="44" t="str">
        <f aca="true">IF(OR(B797="",E797="",C797="Done",C797="Cancelled"),"",E797-TODAY())</f>
        <v/>
      </c>
      <c r="G797" s="48" t="str">
        <f aca="true">IF(OR(B797="",C797="Done",C797="Cancelled"),"",IF(AND(E797&lt;&gt;"",E797&lt;TODAY()),"OVERDUE",IF(AND(E797&lt;&gt;"",E797=TODAY()),"DUE TODAY",IF(AND(K797&lt;&gt;"",K797&lt;=TODAY()),"FOLLOW UP",IF(AND(E797&lt;&gt;"",E797&lt;=TODAY()+3),"DUE SOON",IF(E797="","NO DUE DATE",""))))))</f>
        <v/>
      </c>
      <c r="H797" s="45"/>
      <c r="I797" s="46"/>
      <c r="J797" s="45"/>
      <c r="K797" s="47"/>
      <c r="L797" s="47"/>
      <c r="M797" s="47"/>
      <c r="N797" s="45"/>
    </row>
    <row r="798" customFormat="false" ht="18" hidden="false" customHeight="true" outlineLevel="0" collapsed="false">
      <c r="A798" s="44" t="str">
        <f aca="false">IF(B798="","",ROW()-4)</f>
        <v/>
      </c>
      <c r="B798" s="45"/>
      <c r="C798" s="46"/>
      <c r="D798" s="46"/>
      <c r="E798" s="47"/>
      <c r="F798" s="44" t="str">
        <f aca="true">IF(OR(B798="",E798="",C798="Done",C798="Cancelled"),"",E798-TODAY())</f>
        <v/>
      </c>
      <c r="G798" s="48" t="str">
        <f aca="true">IF(OR(B798="",C798="Done",C798="Cancelled"),"",IF(AND(E798&lt;&gt;"",E798&lt;TODAY()),"OVERDUE",IF(AND(E798&lt;&gt;"",E798=TODAY()),"DUE TODAY",IF(AND(K798&lt;&gt;"",K798&lt;=TODAY()),"FOLLOW UP",IF(AND(E798&lt;&gt;"",E798&lt;=TODAY()+3),"DUE SOON",IF(E798="","NO DUE DATE",""))))))</f>
        <v/>
      </c>
      <c r="H798" s="45"/>
      <c r="I798" s="46"/>
      <c r="J798" s="45"/>
      <c r="K798" s="47"/>
      <c r="L798" s="47"/>
      <c r="M798" s="47"/>
      <c r="N798" s="45"/>
    </row>
    <row r="799" customFormat="false" ht="18" hidden="false" customHeight="true" outlineLevel="0" collapsed="false">
      <c r="A799" s="44" t="str">
        <f aca="false">IF(B799="","",ROW()-4)</f>
        <v/>
      </c>
      <c r="B799" s="45"/>
      <c r="C799" s="46"/>
      <c r="D799" s="46"/>
      <c r="E799" s="47"/>
      <c r="F799" s="44" t="str">
        <f aca="true">IF(OR(B799="",E799="",C799="Done",C799="Cancelled"),"",E799-TODAY())</f>
        <v/>
      </c>
      <c r="G799" s="48" t="str">
        <f aca="true">IF(OR(B799="",C799="Done",C799="Cancelled"),"",IF(AND(E799&lt;&gt;"",E799&lt;TODAY()),"OVERDUE",IF(AND(E799&lt;&gt;"",E799=TODAY()),"DUE TODAY",IF(AND(K799&lt;&gt;"",K799&lt;=TODAY()),"FOLLOW UP",IF(AND(E799&lt;&gt;"",E799&lt;=TODAY()+3),"DUE SOON",IF(E799="","NO DUE DATE",""))))))</f>
        <v/>
      </c>
      <c r="H799" s="45"/>
      <c r="I799" s="46"/>
      <c r="J799" s="45"/>
      <c r="K799" s="47"/>
      <c r="L799" s="47"/>
      <c r="M799" s="47"/>
      <c r="N799" s="45"/>
    </row>
    <row r="800" customFormat="false" ht="18" hidden="false" customHeight="true" outlineLevel="0" collapsed="false">
      <c r="A800" s="44" t="str">
        <f aca="false">IF(B800="","",ROW()-4)</f>
        <v/>
      </c>
      <c r="B800" s="45"/>
      <c r="C800" s="46"/>
      <c r="D800" s="46"/>
      <c r="E800" s="47"/>
      <c r="F800" s="44" t="str">
        <f aca="true">IF(OR(B800="",E800="",C800="Done",C800="Cancelled"),"",E800-TODAY())</f>
        <v/>
      </c>
      <c r="G800" s="48" t="str">
        <f aca="true">IF(OR(B800="",C800="Done",C800="Cancelled"),"",IF(AND(E800&lt;&gt;"",E800&lt;TODAY()),"OVERDUE",IF(AND(E800&lt;&gt;"",E800=TODAY()),"DUE TODAY",IF(AND(K800&lt;&gt;"",K800&lt;=TODAY()),"FOLLOW UP",IF(AND(E800&lt;&gt;"",E800&lt;=TODAY()+3),"DUE SOON",IF(E800="","NO DUE DATE",""))))))</f>
        <v/>
      </c>
      <c r="H800" s="45"/>
      <c r="I800" s="46"/>
      <c r="J800" s="45"/>
      <c r="K800" s="47"/>
      <c r="L800" s="47"/>
      <c r="M800" s="47"/>
      <c r="N800" s="45"/>
    </row>
    <row r="801" customFormat="false" ht="18" hidden="false" customHeight="true" outlineLevel="0" collapsed="false">
      <c r="A801" s="44" t="str">
        <f aca="false">IF(B801="","",ROW()-4)</f>
        <v/>
      </c>
      <c r="B801" s="45"/>
      <c r="C801" s="46"/>
      <c r="D801" s="46"/>
      <c r="E801" s="47"/>
      <c r="F801" s="44" t="str">
        <f aca="true">IF(OR(B801="",E801="",C801="Done",C801="Cancelled"),"",E801-TODAY())</f>
        <v/>
      </c>
      <c r="G801" s="48" t="str">
        <f aca="true">IF(OR(B801="",C801="Done",C801="Cancelled"),"",IF(AND(E801&lt;&gt;"",E801&lt;TODAY()),"OVERDUE",IF(AND(E801&lt;&gt;"",E801=TODAY()),"DUE TODAY",IF(AND(K801&lt;&gt;"",K801&lt;=TODAY()),"FOLLOW UP",IF(AND(E801&lt;&gt;"",E801&lt;=TODAY()+3),"DUE SOON",IF(E801="","NO DUE DATE",""))))))</f>
        <v/>
      </c>
      <c r="H801" s="45"/>
      <c r="I801" s="46"/>
      <c r="J801" s="45"/>
      <c r="K801" s="47"/>
      <c r="L801" s="47"/>
      <c r="M801" s="47"/>
      <c r="N801" s="45"/>
    </row>
    <row r="802" customFormat="false" ht="18" hidden="false" customHeight="true" outlineLevel="0" collapsed="false">
      <c r="A802" s="44" t="str">
        <f aca="false">IF(B802="","",ROW()-4)</f>
        <v/>
      </c>
      <c r="B802" s="45"/>
      <c r="C802" s="46"/>
      <c r="D802" s="46"/>
      <c r="E802" s="47"/>
      <c r="F802" s="44" t="str">
        <f aca="true">IF(OR(B802="",E802="",C802="Done",C802="Cancelled"),"",E802-TODAY())</f>
        <v/>
      </c>
      <c r="G802" s="48" t="str">
        <f aca="true">IF(OR(B802="",C802="Done",C802="Cancelled"),"",IF(AND(E802&lt;&gt;"",E802&lt;TODAY()),"OVERDUE",IF(AND(E802&lt;&gt;"",E802=TODAY()),"DUE TODAY",IF(AND(K802&lt;&gt;"",K802&lt;=TODAY()),"FOLLOW UP",IF(AND(E802&lt;&gt;"",E802&lt;=TODAY()+3),"DUE SOON",IF(E802="","NO DUE DATE",""))))))</f>
        <v/>
      </c>
      <c r="H802" s="45"/>
      <c r="I802" s="46"/>
      <c r="J802" s="45"/>
      <c r="K802" s="47"/>
      <c r="L802" s="47"/>
      <c r="M802" s="47"/>
      <c r="N802" s="45"/>
    </row>
    <row r="803" customFormat="false" ht="18" hidden="false" customHeight="true" outlineLevel="0" collapsed="false">
      <c r="A803" s="44" t="str">
        <f aca="false">IF(B803="","",ROW()-4)</f>
        <v/>
      </c>
      <c r="B803" s="45"/>
      <c r="C803" s="46"/>
      <c r="D803" s="46"/>
      <c r="E803" s="47"/>
      <c r="F803" s="44" t="str">
        <f aca="true">IF(OR(B803="",E803="",C803="Done",C803="Cancelled"),"",E803-TODAY())</f>
        <v/>
      </c>
      <c r="G803" s="48" t="str">
        <f aca="true">IF(OR(B803="",C803="Done",C803="Cancelled"),"",IF(AND(E803&lt;&gt;"",E803&lt;TODAY()),"OVERDUE",IF(AND(E803&lt;&gt;"",E803=TODAY()),"DUE TODAY",IF(AND(K803&lt;&gt;"",K803&lt;=TODAY()),"FOLLOW UP",IF(AND(E803&lt;&gt;"",E803&lt;=TODAY()+3),"DUE SOON",IF(E803="","NO DUE DATE",""))))))</f>
        <v/>
      </c>
      <c r="H803" s="45"/>
      <c r="I803" s="46"/>
      <c r="J803" s="45"/>
      <c r="K803" s="47"/>
      <c r="L803" s="47"/>
      <c r="M803" s="47"/>
      <c r="N803" s="45"/>
    </row>
    <row r="804" customFormat="false" ht="18" hidden="false" customHeight="true" outlineLevel="0" collapsed="false">
      <c r="A804" s="44" t="str">
        <f aca="false">IF(B804="","",ROW()-4)</f>
        <v/>
      </c>
      <c r="B804" s="45"/>
      <c r="C804" s="46"/>
      <c r="D804" s="46"/>
      <c r="E804" s="47"/>
      <c r="F804" s="44" t="str">
        <f aca="true">IF(OR(B804="",E804="",C804="Done",C804="Cancelled"),"",E804-TODAY())</f>
        <v/>
      </c>
      <c r="G804" s="48" t="str">
        <f aca="true">IF(OR(B804="",C804="Done",C804="Cancelled"),"",IF(AND(E804&lt;&gt;"",E804&lt;TODAY()),"OVERDUE",IF(AND(E804&lt;&gt;"",E804=TODAY()),"DUE TODAY",IF(AND(K804&lt;&gt;"",K804&lt;=TODAY()),"FOLLOW UP",IF(AND(E804&lt;&gt;"",E804&lt;=TODAY()+3),"DUE SOON",IF(E804="","NO DUE DATE",""))))))</f>
        <v/>
      </c>
      <c r="H804" s="45"/>
      <c r="I804" s="46"/>
      <c r="J804" s="45"/>
      <c r="K804" s="47"/>
      <c r="L804" s="47"/>
      <c r="M804" s="47"/>
      <c r="N804" s="45"/>
    </row>
    <row r="805" customFormat="false" ht="18" hidden="false" customHeight="true" outlineLevel="0" collapsed="false">
      <c r="A805" s="44" t="str">
        <f aca="false">IF(B805="","",ROW()-4)</f>
        <v/>
      </c>
      <c r="B805" s="45"/>
      <c r="C805" s="46"/>
      <c r="D805" s="46"/>
      <c r="E805" s="47"/>
      <c r="F805" s="44" t="str">
        <f aca="true">IF(OR(B805="",E805="",C805="Done",C805="Cancelled"),"",E805-TODAY())</f>
        <v/>
      </c>
      <c r="G805" s="48" t="str">
        <f aca="true">IF(OR(B805="",C805="Done",C805="Cancelled"),"",IF(AND(E805&lt;&gt;"",E805&lt;TODAY()),"OVERDUE",IF(AND(E805&lt;&gt;"",E805=TODAY()),"DUE TODAY",IF(AND(K805&lt;&gt;"",K805&lt;=TODAY()),"FOLLOW UP",IF(AND(E805&lt;&gt;"",E805&lt;=TODAY()+3),"DUE SOON",IF(E805="","NO DUE DATE",""))))))</f>
        <v/>
      </c>
      <c r="H805" s="45"/>
      <c r="I805" s="46"/>
      <c r="J805" s="45"/>
      <c r="K805" s="47"/>
      <c r="L805" s="47"/>
      <c r="M805" s="47"/>
      <c r="N805" s="45"/>
    </row>
    <row r="806" customFormat="false" ht="18" hidden="false" customHeight="true" outlineLevel="0" collapsed="false">
      <c r="A806" s="44" t="str">
        <f aca="false">IF(B806="","",ROW()-4)</f>
        <v/>
      </c>
      <c r="B806" s="45"/>
      <c r="C806" s="46"/>
      <c r="D806" s="46"/>
      <c r="E806" s="47"/>
      <c r="F806" s="44" t="str">
        <f aca="true">IF(OR(B806="",E806="",C806="Done",C806="Cancelled"),"",E806-TODAY())</f>
        <v/>
      </c>
      <c r="G806" s="48" t="str">
        <f aca="true">IF(OR(B806="",C806="Done",C806="Cancelled"),"",IF(AND(E806&lt;&gt;"",E806&lt;TODAY()),"OVERDUE",IF(AND(E806&lt;&gt;"",E806=TODAY()),"DUE TODAY",IF(AND(K806&lt;&gt;"",K806&lt;=TODAY()),"FOLLOW UP",IF(AND(E806&lt;&gt;"",E806&lt;=TODAY()+3),"DUE SOON",IF(E806="","NO DUE DATE",""))))))</f>
        <v/>
      </c>
      <c r="H806" s="45"/>
      <c r="I806" s="46"/>
      <c r="J806" s="45"/>
      <c r="K806" s="47"/>
      <c r="L806" s="47"/>
      <c r="M806" s="47"/>
      <c r="N806" s="45"/>
    </row>
    <row r="807" customFormat="false" ht="18" hidden="false" customHeight="true" outlineLevel="0" collapsed="false">
      <c r="A807" s="44" t="str">
        <f aca="false">IF(B807="","",ROW()-4)</f>
        <v/>
      </c>
      <c r="B807" s="45"/>
      <c r="C807" s="46"/>
      <c r="D807" s="46"/>
      <c r="E807" s="47"/>
      <c r="F807" s="44" t="str">
        <f aca="true">IF(OR(B807="",E807="",C807="Done",C807="Cancelled"),"",E807-TODAY())</f>
        <v/>
      </c>
      <c r="G807" s="48" t="str">
        <f aca="true">IF(OR(B807="",C807="Done",C807="Cancelled"),"",IF(AND(E807&lt;&gt;"",E807&lt;TODAY()),"OVERDUE",IF(AND(E807&lt;&gt;"",E807=TODAY()),"DUE TODAY",IF(AND(K807&lt;&gt;"",K807&lt;=TODAY()),"FOLLOW UP",IF(AND(E807&lt;&gt;"",E807&lt;=TODAY()+3),"DUE SOON",IF(E807="","NO DUE DATE",""))))))</f>
        <v/>
      </c>
      <c r="H807" s="45"/>
      <c r="I807" s="46"/>
      <c r="J807" s="45"/>
      <c r="K807" s="47"/>
      <c r="L807" s="47"/>
      <c r="M807" s="47"/>
      <c r="N807" s="45"/>
    </row>
    <row r="808" customFormat="false" ht="18" hidden="false" customHeight="true" outlineLevel="0" collapsed="false">
      <c r="A808" s="44" t="str">
        <f aca="false">IF(B808="","",ROW()-4)</f>
        <v/>
      </c>
      <c r="B808" s="45"/>
      <c r="C808" s="46"/>
      <c r="D808" s="46"/>
      <c r="E808" s="47"/>
      <c r="F808" s="44" t="str">
        <f aca="true">IF(OR(B808="",E808="",C808="Done",C808="Cancelled"),"",E808-TODAY())</f>
        <v/>
      </c>
      <c r="G808" s="48" t="str">
        <f aca="true">IF(OR(B808="",C808="Done",C808="Cancelled"),"",IF(AND(E808&lt;&gt;"",E808&lt;TODAY()),"OVERDUE",IF(AND(E808&lt;&gt;"",E808=TODAY()),"DUE TODAY",IF(AND(K808&lt;&gt;"",K808&lt;=TODAY()),"FOLLOW UP",IF(AND(E808&lt;&gt;"",E808&lt;=TODAY()+3),"DUE SOON",IF(E808="","NO DUE DATE",""))))))</f>
        <v/>
      </c>
      <c r="H808" s="45"/>
      <c r="I808" s="46"/>
      <c r="J808" s="45"/>
      <c r="K808" s="47"/>
      <c r="L808" s="47"/>
      <c r="M808" s="47"/>
      <c r="N808" s="45"/>
    </row>
    <row r="809" customFormat="false" ht="18" hidden="false" customHeight="true" outlineLevel="0" collapsed="false">
      <c r="A809" s="44" t="str">
        <f aca="false">IF(B809="","",ROW()-4)</f>
        <v/>
      </c>
      <c r="B809" s="45"/>
      <c r="C809" s="46"/>
      <c r="D809" s="46"/>
      <c r="E809" s="47"/>
      <c r="F809" s="44" t="str">
        <f aca="true">IF(OR(B809="",E809="",C809="Done",C809="Cancelled"),"",E809-TODAY())</f>
        <v/>
      </c>
      <c r="G809" s="48" t="str">
        <f aca="true">IF(OR(B809="",C809="Done",C809="Cancelled"),"",IF(AND(E809&lt;&gt;"",E809&lt;TODAY()),"OVERDUE",IF(AND(E809&lt;&gt;"",E809=TODAY()),"DUE TODAY",IF(AND(K809&lt;&gt;"",K809&lt;=TODAY()),"FOLLOW UP",IF(AND(E809&lt;&gt;"",E809&lt;=TODAY()+3),"DUE SOON",IF(E809="","NO DUE DATE",""))))))</f>
        <v/>
      </c>
      <c r="H809" s="45"/>
      <c r="I809" s="46"/>
      <c r="J809" s="45"/>
      <c r="K809" s="47"/>
      <c r="L809" s="47"/>
      <c r="M809" s="47"/>
      <c r="N809" s="45"/>
    </row>
    <row r="810" customFormat="false" ht="18" hidden="false" customHeight="true" outlineLevel="0" collapsed="false">
      <c r="A810" s="44" t="str">
        <f aca="false">IF(B810="","",ROW()-4)</f>
        <v/>
      </c>
      <c r="B810" s="45"/>
      <c r="C810" s="46"/>
      <c r="D810" s="46"/>
      <c r="E810" s="47"/>
      <c r="F810" s="44" t="str">
        <f aca="true">IF(OR(B810="",E810="",C810="Done",C810="Cancelled"),"",E810-TODAY())</f>
        <v/>
      </c>
      <c r="G810" s="48" t="str">
        <f aca="true">IF(OR(B810="",C810="Done",C810="Cancelled"),"",IF(AND(E810&lt;&gt;"",E810&lt;TODAY()),"OVERDUE",IF(AND(E810&lt;&gt;"",E810=TODAY()),"DUE TODAY",IF(AND(K810&lt;&gt;"",K810&lt;=TODAY()),"FOLLOW UP",IF(AND(E810&lt;&gt;"",E810&lt;=TODAY()+3),"DUE SOON",IF(E810="","NO DUE DATE",""))))))</f>
        <v/>
      </c>
      <c r="H810" s="45"/>
      <c r="I810" s="46"/>
      <c r="J810" s="45"/>
      <c r="K810" s="47"/>
      <c r="L810" s="47"/>
      <c r="M810" s="47"/>
      <c r="N810" s="45"/>
    </row>
    <row r="811" customFormat="false" ht="18" hidden="false" customHeight="true" outlineLevel="0" collapsed="false">
      <c r="A811" s="44" t="str">
        <f aca="false">IF(B811="","",ROW()-4)</f>
        <v/>
      </c>
      <c r="B811" s="45"/>
      <c r="C811" s="46"/>
      <c r="D811" s="46"/>
      <c r="E811" s="47"/>
      <c r="F811" s="44" t="str">
        <f aca="true">IF(OR(B811="",E811="",C811="Done",C811="Cancelled"),"",E811-TODAY())</f>
        <v/>
      </c>
      <c r="G811" s="48" t="str">
        <f aca="true">IF(OR(B811="",C811="Done",C811="Cancelled"),"",IF(AND(E811&lt;&gt;"",E811&lt;TODAY()),"OVERDUE",IF(AND(E811&lt;&gt;"",E811=TODAY()),"DUE TODAY",IF(AND(K811&lt;&gt;"",K811&lt;=TODAY()),"FOLLOW UP",IF(AND(E811&lt;&gt;"",E811&lt;=TODAY()+3),"DUE SOON",IF(E811="","NO DUE DATE",""))))))</f>
        <v/>
      </c>
      <c r="H811" s="45"/>
      <c r="I811" s="46"/>
      <c r="J811" s="45"/>
      <c r="K811" s="47"/>
      <c r="L811" s="47"/>
      <c r="M811" s="47"/>
      <c r="N811" s="45"/>
    </row>
    <row r="812" customFormat="false" ht="18" hidden="false" customHeight="true" outlineLevel="0" collapsed="false">
      <c r="A812" s="44" t="str">
        <f aca="false">IF(B812="","",ROW()-4)</f>
        <v/>
      </c>
      <c r="B812" s="45"/>
      <c r="C812" s="46"/>
      <c r="D812" s="46"/>
      <c r="E812" s="47"/>
      <c r="F812" s="44" t="str">
        <f aca="true">IF(OR(B812="",E812="",C812="Done",C812="Cancelled"),"",E812-TODAY())</f>
        <v/>
      </c>
      <c r="G812" s="48" t="str">
        <f aca="true">IF(OR(B812="",C812="Done",C812="Cancelled"),"",IF(AND(E812&lt;&gt;"",E812&lt;TODAY()),"OVERDUE",IF(AND(E812&lt;&gt;"",E812=TODAY()),"DUE TODAY",IF(AND(K812&lt;&gt;"",K812&lt;=TODAY()),"FOLLOW UP",IF(AND(E812&lt;&gt;"",E812&lt;=TODAY()+3),"DUE SOON",IF(E812="","NO DUE DATE",""))))))</f>
        <v/>
      </c>
      <c r="H812" s="45"/>
      <c r="I812" s="46"/>
      <c r="J812" s="45"/>
      <c r="K812" s="47"/>
      <c r="L812" s="47"/>
      <c r="M812" s="47"/>
      <c r="N812" s="45"/>
    </row>
    <row r="813" customFormat="false" ht="18" hidden="false" customHeight="true" outlineLevel="0" collapsed="false">
      <c r="A813" s="44" t="str">
        <f aca="false">IF(B813="","",ROW()-4)</f>
        <v/>
      </c>
      <c r="B813" s="45"/>
      <c r="C813" s="46"/>
      <c r="D813" s="46"/>
      <c r="E813" s="47"/>
      <c r="F813" s="44" t="str">
        <f aca="true">IF(OR(B813="",E813="",C813="Done",C813="Cancelled"),"",E813-TODAY())</f>
        <v/>
      </c>
      <c r="G813" s="48" t="str">
        <f aca="true">IF(OR(B813="",C813="Done",C813="Cancelled"),"",IF(AND(E813&lt;&gt;"",E813&lt;TODAY()),"OVERDUE",IF(AND(E813&lt;&gt;"",E813=TODAY()),"DUE TODAY",IF(AND(K813&lt;&gt;"",K813&lt;=TODAY()),"FOLLOW UP",IF(AND(E813&lt;&gt;"",E813&lt;=TODAY()+3),"DUE SOON",IF(E813="","NO DUE DATE",""))))))</f>
        <v/>
      </c>
      <c r="H813" s="45"/>
      <c r="I813" s="46"/>
      <c r="J813" s="45"/>
      <c r="K813" s="47"/>
      <c r="L813" s="47"/>
      <c r="M813" s="47"/>
      <c r="N813" s="45"/>
    </row>
    <row r="814" customFormat="false" ht="18" hidden="false" customHeight="true" outlineLevel="0" collapsed="false">
      <c r="A814" s="44" t="str">
        <f aca="false">IF(B814="","",ROW()-4)</f>
        <v/>
      </c>
      <c r="B814" s="45"/>
      <c r="C814" s="46"/>
      <c r="D814" s="46"/>
      <c r="E814" s="47"/>
      <c r="F814" s="44" t="str">
        <f aca="true">IF(OR(B814="",E814="",C814="Done",C814="Cancelled"),"",E814-TODAY())</f>
        <v/>
      </c>
      <c r="G814" s="48" t="str">
        <f aca="true">IF(OR(B814="",C814="Done",C814="Cancelled"),"",IF(AND(E814&lt;&gt;"",E814&lt;TODAY()),"OVERDUE",IF(AND(E814&lt;&gt;"",E814=TODAY()),"DUE TODAY",IF(AND(K814&lt;&gt;"",K814&lt;=TODAY()),"FOLLOW UP",IF(AND(E814&lt;&gt;"",E814&lt;=TODAY()+3),"DUE SOON",IF(E814="","NO DUE DATE",""))))))</f>
        <v/>
      </c>
      <c r="H814" s="45"/>
      <c r="I814" s="46"/>
      <c r="J814" s="45"/>
      <c r="K814" s="47"/>
      <c r="L814" s="47"/>
      <c r="M814" s="47"/>
      <c r="N814" s="45"/>
    </row>
    <row r="815" customFormat="false" ht="18" hidden="false" customHeight="true" outlineLevel="0" collapsed="false">
      <c r="A815" s="44" t="str">
        <f aca="false">IF(B815="","",ROW()-4)</f>
        <v/>
      </c>
      <c r="B815" s="45"/>
      <c r="C815" s="46"/>
      <c r="D815" s="46"/>
      <c r="E815" s="47"/>
      <c r="F815" s="44" t="str">
        <f aca="true">IF(OR(B815="",E815="",C815="Done",C815="Cancelled"),"",E815-TODAY())</f>
        <v/>
      </c>
      <c r="G815" s="48" t="str">
        <f aca="true">IF(OR(B815="",C815="Done",C815="Cancelled"),"",IF(AND(E815&lt;&gt;"",E815&lt;TODAY()),"OVERDUE",IF(AND(E815&lt;&gt;"",E815=TODAY()),"DUE TODAY",IF(AND(K815&lt;&gt;"",K815&lt;=TODAY()),"FOLLOW UP",IF(AND(E815&lt;&gt;"",E815&lt;=TODAY()+3),"DUE SOON",IF(E815="","NO DUE DATE",""))))))</f>
        <v/>
      </c>
      <c r="H815" s="45"/>
      <c r="I815" s="46"/>
      <c r="J815" s="45"/>
      <c r="K815" s="47"/>
      <c r="L815" s="47"/>
      <c r="M815" s="47"/>
      <c r="N815" s="45"/>
    </row>
    <row r="816" customFormat="false" ht="18" hidden="false" customHeight="true" outlineLevel="0" collapsed="false">
      <c r="A816" s="44" t="str">
        <f aca="false">IF(B816="","",ROW()-4)</f>
        <v/>
      </c>
      <c r="B816" s="45"/>
      <c r="C816" s="46"/>
      <c r="D816" s="46"/>
      <c r="E816" s="47"/>
      <c r="F816" s="44" t="str">
        <f aca="true">IF(OR(B816="",E816="",C816="Done",C816="Cancelled"),"",E816-TODAY())</f>
        <v/>
      </c>
      <c r="G816" s="48" t="str">
        <f aca="true">IF(OR(B816="",C816="Done",C816="Cancelled"),"",IF(AND(E816&lt;&gt;"",E816&lt;TODAY()),"OVERDUE",IF(AND(E816&lt;&gt;"",E816=TODAY()),"DUE TODAY",IF(AND(K816&lt;&gt;"",K816&lt;=TODAY()),"FOLLOW UP",IF(AND(E816&lt;&gt;"",E816&lt;=TODAY()+3),"DUE SOON",IF(E816="","NO DUE DATE",""))))))</f>
        <v/>
      </c>
      <c r="H816" s="45"/>
      <c r="I816" s="46"/>
      <c r="J816" s="45"/>
      <c r="K816" s="47"/>
      <c r="L816" s="47"/>
      <c r="M816" s="47"/>
      <c r="N816" s="45"/>
    </row>
    <row r="817" customFormat="false" ht="18" hidden="false" customHeight="true" outlineLevel="0" collapsed="false">
      <c r="A817" s="44" t="str">
        <f aca="false">IF(B817="","",ROW()-4)</f>
        <v/>
      </c>
      <c r="B817" s="45"/>
      <c r="C817" s="46"/>
      <c r="D817" s="46"/>
      <c r="E817" s="47"/>
      <c r="F817" s="44" t="str">
        <f aca="true">IF(OR(B817="",E817="",C817="Done",C817="Cancelled"),"",E817-TODAY())</f>
        <v/>
      </c>
      <c r="G817" s="48" t="str">
        <f aca="true">IF(OR(B817="",C817="Done",C817="Cancelled"),"",IF(AND(E817&lt;&gt;"",E817&lt;TODAY()),"OVERDUE",IF(AND(E817&lt;&gt;"",E817=TODAY()),"DUE TODAY",IF(AND(K817&lt;&gt;"",K817&lt;=TODAY()),"FOLLOW UP",IF(AND(E817&lt;&gt;"",E817&lt;=TODAY()+3),"DUE SOON",IF(E817="","NO DUE DATE",""))))))</f>
        <v/>
      </c>
      <c r="H817" s="45"/>
      <c r="I817" s="46"/>
      <c r="J817" s="45"/>
      <c r="K817" s="47"/>
      <c r="L817" s="47"/>
      <c r="M817" s="47"/>
      <c r="N817" s="45"/>
    </row>
    <row r="818" customFormat="false" ht="18" hidden="false" customHeight="true" outlineLevel="0" collapsed="false">
      <c r="A818" s="44" t="str">
        <f aca="false">IF(B818="","",ROW()-4)</f>
        <v/>
      </c>
      <c r="B818" s="45"/>
      <c r="C818" s="46"/>
      <c r="D818" s="46"/>
      <c r="E818" s="47"/>
      <c r="F818" s="44" t="str">
        <f aca="true">IF(OR(B818="",E818="",C818="Done",C818="Cancelled"),"",E818-TODAY())</f>
        <v/>
      </c>
      <c r="G818" s="48" t="str">
        <f aca="true">IF(OR(B818="",C818="Done",C818="Cancelled"),"",IF(AND(E818&lt;&gt;"",E818&lt;TODAY()),"OVERDUE",IF(AND(E818&lt;&gt;"",E818=TODAY()),"DUE TODAY",IF(AND(K818&lt;&gt;"",K818&lt;=TODAY()),"FOLLOW UP",IF(AND(E818&lt;&gt;"",E818&lt;=TODAY()+3),"DUE SOON",IF(E818="","NO DUE DATE",""))))))</f>
        <v/>
      </c>
      <c r="H818" s="45"/>
      <c r="I818" s="46"/>
      <c r="J818" s="45"/>
      <c r="K818" s="47"/>
      <c r="L818" s="47"/>
      <c r="M818" s="47"/>
      <c r="N818" s="45"/>
    </row>
    <row r="819" customFormat="false" ht="18" hidden="false" customHeight="true" outlineLevel="0" collapsed="false">
      <c r="A819" s="44" t="str">
        <f aca="false">IF(B819="","",ROW()-4)</f>
        <v/>
      </c>
      <c r="B819" s="45"/>
      <c r="C819" s="46"/>
      <c r="D819" s="46"/>
      <c r="E819" s="47"/>
      <c r="F819" s="44" t="str">
        <f aca="true">IF(OR(B819="",E819="",C819="Done",C819="Cancelled"),"",E819-TODAY())</f>
        <v/>
      </c>
      <c r="G819" s="48" t="str">
        <f aca="true">IF(OR(B819="",C819="Done",C819="Cancelled"),"",IF(AND(E819&lt;&gt;"",E819&lt;TODAY()),"OVERDUE",IF(AND(E819&lt;&gt;"",E819=TODAY()),"DUE TODAY",IF(AND(K819&lt;&gt;"",K819&lt;=TODAY()),"FOLLOW UP",IF(AND(E819&lt;&gt;"",E819&lt;=TODAY()+3),"DUE SOON",IF(E819="","NO DUE DATE",""))))))</f>
        <v/>
      </c>
      <c r="H819" s="45"/>
      <c r="I819" s="46"/>
      <c r="J819" s="45"/>
      <c r="K819" s="47"/>
      <c r="L819" s="47"/>
      <c r="M819" s="47"/>
      <c r="N819" s="45"/>
    </row>
    <row r="820" customFormat="false" ht="18" hidden="false" customHeight="true" outlineLevel="0" collapsed="false">
      <c r="A820" s="44" t="str">
        <f aca="false">IF(B820="","",ROW()-4)</f>
        <v/>
      </c>
      <c r="B820" s="45"/>
      <c r="C820" s="46"/>
      <c r="D820" s="46"/>
      <c r="E820" s="47"/>
      <c r="F820" s="44" t="str">
        <f aca="true">IF(OR(B820="",E820="",C820="Done",C820="Cancelled"),"",E820-TODAY())</f>
        <v/>
      </c>
      <c r="G820" s="48" t="str">
        <f aca="true">IF(OR(B820="",C820="Done",C820="Cancelled"),"",IF(AND(E820&lt;&gt;"",E820&lt;TODAY()),"OVERDUE",IF(AND(E820&lt;&gt;"",E820=TODAY()),"DUE TODAY",IF(AND(K820&lt;&gt;"",K820&lt;=TODAY()),"FOLLOW UP",IF(AND(E820&lt;&gt;"",E820&lt;=TODAY()+3),"DUE SOON",IF(E820="","NO DUE DATE",""))))))</f>
        <v/>
      </c>
      <c r="H820" s="45"/>
      <c r="I820" s="46"/>
      <c r="J820" s="45"/>
      <c r="K820" s="47"/>
      <c r="L820" s="47"/>
      <c r="M820" s="47"/>
      <c r="N820" s="45"/>
    </row>
    <row r="821" customFormat="false" ht="18" hidden="false" customHeight="true" outlineLevel="0" collapsed="false">
      <c r="A821" s="44" t="str">
        <f aca="false">IF(B821="","",ROW()-4)</f>
        <v/>
      </c>
      <c r="B821" s="45"/>
      <c r="C821" s="46"/>
      <c r="D821" s="46"/>
      <c r="E821" s="47"/>
      <c r="F821" s="44" t="str">
        <f aca="true">IF(OR(B821="",E821="",C821="Done",C821="Cancelled"),"",E821-TODAY())</f>
        <v/>
      </c>
      <c r="G821" s="48" t="str">
        <f aca="true">IF(OR(B821="",C821="Done",C821="Cancelled"),"",IF(AND(E821&lt;&gt;"",E821&lt;TODAY()),"OVERDUE",IF(AND(E821&lt;&gt;"",E821=TODAY()),"DUE TODAY",IF(AND(K821&lt;&gt;"",K821&lt;=TODAY()),"FOLLOW UP",IF(AND(E821&lt;&gt;"",E821&lt;=TODAY()+3),"DUE SOON",IF(E821="","NO DUE DATE",""))))))</f>
        <v/>
      </c>
      <c r="H821" s="45"/>
      <c r="I821" s="46"/>
      <c r="J821" s="45"/>
      <c r="K821" s="47"/>
      <c r="L821" s="47"/>
      <c r="M821" s="47"/>
      <c r="N821" s="45"/>
    </row>
    <row r="822" customFormat="false" ht="18" hidden="false" customHeight="true" outlineLevel="0" collapsed="false">
      <c r="A822" s="44" t="str">
        <f aca="false">IF(B822="","",ROW()-4)</f>
        <v/>
      </c>
      <c r="B822" s="45"/>
      <c r="C822" s="46"/>
      <c r="D822" s="46"/>
      <c r="E822" s="47"/>
      <c r="F822" s="44" t="str">
        <f aca="true">IF(OR(B822="",E822="",C822="Done",C822="Cancelled"),"",E822-TODAY())</f>
        <v/>
      </c>
      <c r="G822" s="48" t="str">
        <f aca="true">IF(OR(B822="",C822="Done",C822="Cancelled"),"",IF(AND(E822&lt;&gt;"",E822&lt;TODAY()),"OVERDUE",IF(AND(E822&lt;&gt;"",E822=TODAY()),"DUE TODAY",IF(AND(K822&lt;&gt;"",K822&lt;=TODAY()),"FOLLOW UP",IF(AND(E822&lt;&gt;"",E822&lt;=TODAY()+3),"DUE SOON",IF(E822="","NO DUE DATE",""))))))</f>
        <v/>
      </c>
      <c r="H822" s="45"/>
      <c r="I822" s="46"/>
      <c r="J822" s="45"/>
      <c r="K822" s="47"/>
      <c r="L822" s="47"/>
      <c r="M822" s="47"/>
      <c r="N822" s="45"/>
    </row>
    <row r="823" customFormat="false" ht="18" hidden="false" customHeight="true" outlineLevel="0" collapsed="false">
      <c r="A823" s="44" t="str">
        <f aca="false">IF(B823="","",ROW()-4)</f>
        <v/>
      </c>
      <c r="B823" s="45"/>
      <c r="C823" s="46"/>
      <c r="D823" s="46"/>
      <c r="E823" s="47"/>
      <c r="F823" s="44" t="str">
        <f aca="true">IF(OR(B823="",E823="",C823="Done",C823="Cancelled"),"",E823-TODAY())</f>
        <v/>
      </c>
      <c r="G823" s="48" t="str">
        <f aca="true">IF(OR(B823="",C823="Done",C823="Cancelled"),"",IF(AND(E823&lt;&gt;"",E823&lt;TODAY()),"OVERDUE",IF(AND(E823&lt;&gt;"",E823=TODAY()),"DUE TODAY",IF(AND(K823&lt;&gt;"",K823&lt;=TODAY()),"FOLLOW UP",IF(AND(E823&lt;&gt;"",E823&lt;=TODAY()+3),"DUE SOON",IF(E823="","NO DUE DATE",""))))))</f>
        <v/>
      </c>
      <c r="H823" s="45"/>
      <c r="I823" s="46"/>
      <c r="J823" s="45"/>
      <c r="K823" s="47"/>
      <c r="L823" s="47"/>
      <c r="M823" s="47"/>
      <c r="N823" s="45"/>
    </row>
    <row r="824" customFormat="false" ht="18" hidden="false" customHeight="true" outlineLevel="0" collapsed="false">
      <c r="A824" s="44" t="str">
        <f aca="false">IF(B824="","",ROW()-4)</f>
        <v/>
      </c>
      <c r="B824" s="45"/>
      <c r="C824" s="46"/>
      <c r="D824" s="46"/>
      <c r="E824" s="47"/>
      <c r="F824" s="44" t="str">
        <f aca="true">IF(OR(B824="",E824="",C824="Done",C824="Cancelled"),"",E824-TODAY())</f>
        <v/>
      </c>
      <c r="G824" s="48" t="str">
        <f aca="true">IF(OR(B824="",C824="Done",C824="Cancelled"),"",IF(AND(E824&lt;&gt;"",E824&lt;TODAY()),"OVERDUE",IF(AND(E824&lt;&gt;"",E824=TODAY()),"DUE TODAY",IF(AND(K824&lt;&gt;"",K824&lt;=TODAY()),"FOLLOW UP",IF(AND(E824&lt;&gt;"",E824&lt;=TODAY()+3),"DUE SOON",IF(E824="","NO DUE DATE",""))))))</f>
        <v/>
      </c>
      <c r="H824" s="45"/>
      <c r="I824" s="46"/>
      <c r="J824" s="45"/>
      <c r="K824" s="47"/>
      <c r="L824" s="47"/>
      <c r="M824" s="47"/>
      <c r="N824" s="45"/>
    </row>
    <row r="825" customFormat="false" ht="18" hidden="false" customHeight="true" outlineLevel="0" collapsed="false">
      <c r="A825" s="44" t="str">
        <f aca="false">IF(B825="","",ROW()-4)</f>
        <v/>
      </c>
      <c r="B825" s="45"/>
      <c r="C825" s="46"/>
      <c r="D825" s="46"/>
      <c r="E825" s="47"/>
      <c r="F825" s="44" t="str">
        <f aca="true">IF(OR(B825="",E825="",C825="Done",C825="Cancelled"),"",E825-TODAY())</f>
        <v/>
      </c>
      <c r="G825" s="48" t="str">
        <f aca="true">IF(OR(B825="",C825="Done",C825="Cancelled"),"",IF(AND(E825&lt;&gt;"",E825&lt;TODAY()),"OVERDUE",IF(AND(E825&lt;&gt;"",E825=TODAY()),"DUE TODAY",IF(AND(K825&lt;&gt;"",K825&lt;=TODAY()),"FOLLOW UP",IF(AND(E825&lt;&gt;"",E825&lt;=TODAY()+3),"DUE SOON",IF(E825="","NO DUE DATE",""))))))</f>
        <v/>
      </c>
      <c r="H825" s="45"/>
      <c r="I825" s="46"/>
      <c r="J825" s="45"/>
      <c r="K825" s="47"/>
      <c r="L825" s="47"/>
      <c r="M825" s="47"/>
      <c r="N825" s="45"/>
    </row>
    <row r="826" customFormat="false" ht="18" hidden="false" customHeight="true" outlineLevel="0" collapsed="false">
      <c r="A826" s="44" t="str">
        <f aca="false">IF(B826="","",ROW()-4)</f>
        <v/>
      </c>
      <c r="B826" s="45"/>
      <c r="C826" s="46"/>
      <c r="D826" s="46"/>
      <c r="E826" s="47"/>
      <c r="F826" s="44" t="str">
        <f aca="true">IF(OR(B826="",E826="",C826="Done",C826="Cancelled"),"",E826-TODAY())</f>
        <v/>
      </c>
      <c r="G826" s="48" t="str">
        <f aca="true">IF(OR(B826="",C826="Done",C826="Cancelled"),"",IF(AND(E826&lt;&gt;"",E826&lt;TODAY()),"OVERDUE",IF(AND(E826&lt;&gt;"",E826=TODAY()),"DUE TODAY",IF(AND(K826&lt;&gt;"",K826&lt;=TODAY()),"FOLLOW UP",IF(AND(E826&lt;&gt;"",E826&lt;=TODAY()+3),"DUE SOON",IF(E826="","NO DUE DATE",""))))))</f>
        <v/>
      </c>
      <c r="H826" s="45"/>
      <c r="I826" s="46"/>
      <c r="J826" s="45"/>
      <c r="K826" s="47"/>
      <c r="L826" s="47"/>
      <c r="M826" s="47"/>
      <c r="N826" s="45"/>
    </row>
    <row r="827" customFormat="false" ht="18" hidden="false" customHeight="true" outlineLevel="0" collapsed="false">
      <c r="A827" s="44" t="str">
        <f aca="false">IF(B827="","",ROW()-4)</f>
        <v/>
      </c>
      <c r="B827" s="45"/>
      <c r="C827" s="46"/>
      <c r="D827" s="46"/>
      <c r="E827" s="47"/>
      <c r="F827" s="44" t="str">
        <f aca="true">IF(OR(B827="",E827="",C827="Done",C827="Cancelled"),"",E827-TODAY())</f>
        <v/>
      </c>
      <c r="G827" s="48" t="str">
        <f aca="true">IF(OR(B827="",C827="Done",C827="Cancelled"),"",IF(AND(E827&lt;&gt;"",E827&lt;TODAY()),"OVERDUE",IF(AND(E827&lt;&gt;"",E827=TODAY()),"DUE TODAY",IF(AND(K827&lt;&gt;"",K827&lt;=TODAY()),"FOLLOW UP",IF(AND(E827&lt;&gt;"",E827&lt;=TODAY()+3),"DUE SOON",IF(E827="","NO DUE DATE",""))))))</f>
        <v/>
      </c>
      <c r="H827" s="45"/>
      <c r="I827" s="46"/>
      <c r="J827" s="45"/>
      <c r="K827" s="47"/>
      <c r="L827" s="47"/>
      <c r="M827" s="47"/>
      <c r="N827" s="45"/>
    </row>
    <row r="828" customFormat="false" ht="18" hidden="false" customHeight="true" outlineLevel="0" collapsed="false">
      <c r="A828" s="44" t="str">
        <f aca="false">IF(B828="","",ROW()-4)</f>
        <v/>
      </c>
      <c r="B828" s="45"/>
      <c r="C828" s="46"/>
      <c r="D828" s="46"/>
      <c r="E828" s="47"/>
      <c r="F828" s="44" t="str">
        <f aca="true">IF(OR(B828="",E828="",C828="Done",C828="Cancelled"),"",E828-TODAY())</f>
        <v/>
      </c>
      <c r="G828" s="48" t="str">
        <f aca="true">IF(OR(B828="",C828="Done",C828="Cancelled"),"",IF(AND(E828&lt;&gt;"",E828&lt;TODAY()),"OVERDUE",IF(AND(E828&lt;&gt;"",E828=TODAY()),"DUE TODAY",IF(AND(K828&lt;&gt;"",K828&lt;=TODAY()),"FOLLOW UP",IF(AND(E828&lt;&gt;"",E828&lt;=TODAY()+3),"DUE SOON",IF(E828="","NO DUE DATE",""))))))</f>
        <v/>
      </c>
      <c r="H828" s="45"/>
      <c r="I828" s="46"/>
      <c r="J828" s="45"/>
      <c r="K828" s="47"/>
      <c r="L828" s="47"/>
      <c r="M828" s="47"/>
      <c r="N828" s="45"/>
    </row>
    <row r="829" customFormat="false" ht="18" hidden="false" customHeight="true" outlineLevel="0" collapsed="false">
      <c r="A829" s="44" t="str">
        <f aca="false">IF(B829="","",ROW()-4)</f>
        <v/>
      </c>
      <c r="B829" s="45"/>
      <c r="C829" s="46"/>
      <c r="D829" s="46"/>
      <c r="E829" s="47"/>
      <c r="F829" s="44" t="str">
        <f aca="true">IF(OR(B829="",E829="",C829="Done",C829="Cancelled"),"",E829-TODAY())</f>
        <v/>
      </c>
      <c r="G829" s="48" t="str">
        <f aca="true">IF(OR(B829="",C829="Done",C829="Cancelled"),"",IF(AND(E829&lt;&gt;"",E829&lt;TODAY()),"OVERDUE",IF(AND(E829&lt;&gt;"",E829=TODAY()),"DUE TODAY",IF(AND(K829&lt;&gt;"",K829&lt;=TODAY()),"FOLLOW UP",IF(AND(E829&lt;&gt;"",E829&lt;=TODAY()+3),"DUE SOON",IF(E829="","NO DUE DATE",""))))))</f>
        <v/>
      </c>
      <c r="H829" s="45"/>
      <c r="I829" s="46"/>
      <c r="J829" s="45"/>
      <c r="K829" s="47"/>
      <c r="L829" s="47"/>
      <c r="M829" s="47"/>
      <c r="N829" s="45"/>
    </row>
    <row r="830" customFormat="false" ht="18" hidden="false" customHeight="true" outlineLevel="0" collapsed="false">
      <c r="A830" s="44" t="str">
        <f aca="false">IF(B830="","",ROW()-4)</f>
        <v/>
      </c>
      <c r="B830" s="45"/>
      <c r="C830" s="46"/>
      <c r="D830" s="46"/>
      <c r="E830" s="47"/>
      <c r="F830" s="44" t="str">
        <f aca="true">IF(OR(B830="",E830="",C830="Done",C830="Cancelled"),"",E830-TODAY())</f>
        <v/>
      </c>
      <c r="G830" s="48" t="str">
        <f aca="true">IF(OR(B830="",C830="Done",C830="Cancelled"),"",IF(AND(E830&lt;&gt;"",E830&lt;TODAY()),"OVERDUE",IF(AND(E830&lt;&gt;"",E830=TODAY()),"DUE TODAY",IF(AND(K830&lt;&gt;"",K830&lt;=TODAY()),"FOLLOW UP",IF(AND(E830&lt;&gt;"",E830&lt;=TODAY()+3),"DUE SOON",IF(E830="","NO DUE DATE",""))))))</f>
        <v/>
      </c>
      <c r="H830" s="45"/>
      <c r="I830" s="46"/>
      <c r="J830" s="45"/>
      <c r="K830" s="47"/>
      <c r="L830" s="47"/>
      <c r="M830" s="47"/>
      <c r="N830" s="45"/>
    </row>
    <row r="831" customFormat="false" ht="18" hidden="false" customHeight="true" outlineLevel="0" collapsed="false">
      <c r="A831" s="44" t="str">
        <f aca="false">IF(B831="","",ROW()-4)</f>
        <v/>
      </c>
      <c r="B831" s="45"/>
      <c r="C831" s="46"/>
      <c r="D831" s="46"/>
      <c r="E831" s="47"/>
      <c r="F831" s="44" t="str">
        <f aca="true">IF(OR(B831="",E831="",C831="Done",C831="Cancelled"),"",E831-TODAY())</f>
        <v/>
      </c>
      <c r="G831" s="48" t="str">
        <f aca="true">IF(OR(B831="",C831="Done",C831="Cancelled"),"",IF(AND(E831&lt;&gt;"",E831&lt;TODAY()),"OVERDUE",IF(AND(E831&lt;&gt;"",E831=TODAY()),"DUE TODAY",IF(AND(K831&lt;&gt;"",K831&lt;=TODAY()),"FOLLOW UP",IF(AND(E831&lt;&gt;"",E831&lt;=TODAY()+3),"DUE SOON",IF(E831="","NO DUE DATE",""))))))</f>
        <v/>
      </c>
      <c r="H831" s="45"/>
      <c r="I831" s="46"/>
      <c r="J831" s="45"/>
      <c r="K831" s="47"/>
      <c r="L831" s="47"/>
      <c r="M831" s="47"/>
      <c r="N831" s="45"/>
    </row>
    <row r="832" customFormat="false" ht="18" hidden="false" customHeight="true" outlineLevel="0" collapsed="false">
      <c r="A832" s="44" t="str">
        <f aca="false">IF(B832="","",ROW()-4)</f>
        <v/>
      </c>
      <c r="B832" s="45"/>
      <c r="C832" s="46"/>
      <c r="D832" s="46"/>
      <c r="E832" s="47"/>
      <c r="F832" s="44" t="str">
        <f aca="true">IF(OR(B832="",E832="",C832="Done",C832="Cancelled"),"",E832-TODAY())</f>
        <v/>
      </c>
      <c r="G832" s="48" t="str">
        <f aca="true">IF(OR(B832="",C832="Done",C832="Cancelled"),"",IF(AND(E832&lt;&gt;"",E832&lt;TODAY()),"OVERDUE",IF(AND(E832&lt;&gt;"",E832=TODAY()),"DUE TODAY",IF(AND(K832&lt;&gt;"",K832&lt;=TODAY()),"FOLLOW UP",IF(AND(E832&lt;&gt;"",E832&lt;=TODAY()+3),"DUE SOON",IF(E832="","NO DUE DATE",""))))))</f>
        <v/>
      </c>
      <c r="H832" s="45"/>
      <c r="I832" s="46"/>
      <c r="J832" s="45"/>
      <c r="K832" s="47"/>
      <c r="L832" s="47"/>
      <c r="M832" s="47"/>
      <c r="N832" s="45"/>
    </row>
    <row r="833" customFormat="false" ht="18" hidden="false" customHeight="true" outlineLevel="0" collapsed="false">
      <c r="A833" s="44" t="str">
        <f aca="false">IF(B833="","",ROW()-4)</f>
        <v/>
      </c>
      <c r="B833" s="45"/>
      <c r="C833" s="46"/>
      <c r="D833" s="46"/>
      <c r="E833" s="47"/>
      <c r="F833" s="44" t="str">
        <f aca="true">IF(OR(B833="",E833="",C833="Done",C833="Cancelled"),"",E833-TODAY())</f>
        <v/>
      </c>
      <c r="G833" s="48" t="str">
        <f aca="true">IF(OR(B833="",C833="Done",C833="Cancelled"),"",IF(AND(E833&lt;&gt;"",E833&lt;TODAY()),"OVERDUE",IF(AND(E833&lt;&gt;"",E833=TODAY()),"DUE TODAY",IF(AND(K833&lt;&gt;"",K833&lt;=TODAY()),"FOLLOW UP",IF(AND(E833&lt;&gt;"",E833&lt;=TODAY()+3),"DUE SOON",IF(E833="","NO DUE DATE",""))))))</f>
        <v/>
      </c>
      <c r="H833" s="45"/>
      <c r="I833" s="46"/>
      <c r="J833" s="45"/>
      <c r="K833" s="47"/>
      <c r="L833" s="47"/>
      <c r="M833" s="47"/>
      <c r="N833" s="45"/>
    </row>
    <row r="834" customFormat="false" ht="18" hidden="false" customHeight="true" outlineLevel="0" collapsed="false">
      <c r="A834" s="44" t="str">
        <f aca="false">IF(B834="","",ROW()-4)</f>
        <v/>
      </c>
      <c r="B834" s="45"/>
      <c r="C834" s="46"/>
      <c r="D834" s="46"/>
      <c r="E834" s="47"/>
      <c r="F834" s="44" t="str">
        <f aca="true">IF(OR(B834="",E834="",C834="Done",C834="Cancelled"),"",E834-TODAY())</f>
        <v/>
      </c>
      <c r="G834" s="48" t="str">
        <f aca="true">IF(OR(B834="",C834="Done",C834="Cancelled"),"",IF(AND(E834&lt;&gt;"",E834&lt;TODAY()),"OVERDUE",IF(AND(E834&lt;&gt;"",E834=TODAY()),"DUE TODAY",IF(AND(K834&lt;&gt;"",K834&lt;=TODAY()),"FOLLOW UP",IF(AND(E834&lt;&gt;"",E834&lt;=TODAY()+3),"DUE SOON",IF(E834="","NO DUE DATE",""))))))</f>
        <v/>
      </c>
      <c r="H834" s="45"/>
      <c r="I834" s="46"/>
      <c r="J834" s="45"/>
      <c r="K834" s="47"/>
      <c r="L834" s="47"/>
      <c r="M834" s="47"/>
      <c r="N834" s="45"/>
    </row>
    <row r="835" customFormat="false" ht="18" hidden="false" customHeight="true" outlineLevel="0" collapsed="false">
      <c r="A835" s="44" t="str">
        <f aca="false">IF(B835="","",ROW()-4)</f>
        <v/>
      </c>
      <c r="B835" s="45"/>
      <c r="C835" s="46"/>
      <c r="D835" s="46"/>
      <c r="E835" s="47"/>
      <c r="F835" s="44" t="str">
        <f aca="true">IF(OR(B835="",E835="",C835="Done",C835="Cancelled"),"",E835-TODAY())</f>
        <v/>
      </c>
      <c r="G835" s="48" t="str">
        <f aca="true">IF(OR(B835="",C835="Done",C835="Cancelled"),"",IF(AND(E835&lt;&gt;"",E835&lt;TODAY()),"OVERDUE",IF(AND(E835&lt;&gt;"",E835=TODAY()),"DUE TODAY",IF(AND(K835&lt;&gt;"",K835&lt;=TODAY()),"FOLLOW UP",IF(AND(E835&lt;&gt;"",E835&lt;=TODAY()+3),"DUE SOON",IF(E835="","NO DUE DATE",""))))))</f>
        <v/>
      </c>
      <c r="H835" s="45"/>
      <c r="I835" s="46"/>
      <c r="J835" s="45"/>
      <c r="K835" s="47"/>
      <c r="L835" s="47"/>
      <c r="M835" s="47"/>
      <c r="N835" s="45"/>
    </row>
    <row r="836" customFormat="false" ht="18" hidden="false" customHeight="true" outlineLevel="0" collapsed="false">
      <c r="A836" s="44" t="str">
        <f aca="false">IF(B836="","",ROW()-4)</f>
        <v/>
      </c>
      <c r="B836" s="45"/>
      <c r="C836" s="46"/>
      <c r="D836" s="46"/>
      <c r="E836" s="47"/>
      <c r="F836" s="44" t="str">
        <f aca="true">IF(OR(B836="",E836="",C836="Done",C836="Cancelled"),"",E836-TODAY())</f>
        <v/>
      </c>
      <c r="G836" s="48" t="str">
        <f aca="true">IF(OR(B836="",C836="Done",C836="Cancelled"),"",IF(AND(E836&lt;&gt;"",E836&lt;TODAY()),"OVERDUE",IF(AND(E836&lt;&gt;"",E836=TODAY()),"DUE TODAY",IF(AND(K836&lt;&gt;"",K836&lt;=TODAY()),"FOLLOW UP",IF(AND(E836&lt;&gt;"",E836&lt;=TODAY()+3),"DUE SOON",IF(E836="","NO DUE DATE",""))))))</f>
        <v/>
      </c>
      <c r="H836" s="45"/>
      <c r="I836" s="46"/>
      <c r="J836" s="45"/>
      <c r="K836" s="47"/>
      <c r="L836" s="47"/>
      <c r="M836" s="47"/>
      <c r="N836" s="45"/>
    </row>
    <row r="837" customFormat="false" ht="18" hidden="false" customHeight="true" outlineLevel="0" collapsed="false">
      <c r="A837" s="44" t="str">
        <f aca="false">IF(B837="","",ROW()-4)</f>
        <v/>
      </c>
      <c r="B837" s="45"/>
      <c r="C837" s="46"/>
      <c r="D837" s="46"/>
      <c r="E837" s="47"/>
      <c r="F837" s="44" t="str">
        <f aca="true">IF(OR(B837="",E837="",C837="Done",C837="Cancelled"),"",E837-TODAY())</f>
        <v/>
      </c>
      <c r="G837" s="48" t="str">
        <f aca="true">IF(OR(B837="",C837="Done",C837="Cancelled"),"",IF(AND(E837&lt;&gt;"",E837&lt;TODAY()),"OVERDUE",IF(AND(E837&lt;&gt;"",E837=TODAY()),"DUE TODAY",IF(AND(K837&lt;&gt;"",K837&lt;=TODAY()),"FOLLOW UP",IF(AND(E837&lt;&gt;"",E837&lt;=TODAY()+3),"DUE SOON",IF(E837="","NO DUE DATE",""))))))</f>
        <v/>
      </c>
      <c r="H837" s="45"/>
      <c r="I837" s="46"/>
      <c r="J837" s="45"/>
      <c r="K837" s="47"/>
      <c r="L837" s="47"/>
      <c r="M837" s="47"/>
      <c r="N837" s="45"/>
    </row>
    <row r="838" customFormat="false" ht="18" hidden="false" customHeight="true" outlineLevel="0" collapsed="false">
      <c r="A838" s="44" t="str">
        <f aca="false">IF(B838="","",ROW()-4)</f>
        <v/>
      </c>
      <c r="B838" s="45"/>
      <c r="C838" s="46"/>
      <c r="D838" s="46"/>
      <c r="E838" s="47"/>
      <c r="F838" s="44" t="str">
        <f aca="true">IF(OR(B838="",E838="",C838="Done",C838="Cancelled"),"",E838-TODAY())</f>
        <v/>
      </c>
      <c r="G838" s="48" t="str">
        <f aca="true">IF(OR(B838="",C838="Done",C838="Cancelled"),"",IF(AND(E838&lt;&gt;"",E838&lt;TODAY()),"OVERDUE",IF(AND(E838&lt;&gt;"",E838=TODAY()),"DUE TODAY",IF(AND(K838&lt;&gt;"",K838&lt;=TODAY()),"FOLLOW UP",IF(AND(E838&lt;&gt;"",E838&lt;=TODAY()+3),"DUE SOON",IF(E838="","NO DUE DATE",""))))))</f>
        <v/>
      </c>
      <c r="H838" s="45"/>
      <c r="I838" s="46"/>
      <c r="J838" s="45"/>
      <c r="K838" s="47"/>
      <c r="L838" s="47"/>
      <c r="M838" s="47"/>
      <c r="N838" s="45"/>
    </row>
    <row r="839" customFormat="false" ht="18" hidden="false" customHeight="true" outlineLevel="0" collapsed="false">
      <c r="A839" s="44" t="str">
        <f aca="false">IF(B839="","",ROW()-4)</f>
        <v/>
      </c>
      <c r="B839" s="45"/>
      <c r="C839" s="46"/>
      <c r="D839" s="46"/>
      <c r="E839" s="47"/>
      <c r="F839" s="44" t="str">
        <f aca="true">IF(OR(B839="",E839="",C839="Done",C839="Cancelled"),"",E839-TODAY())</f>
        <v/>
      </c>
      <c r="G839" s="48" t="str">
        <f aca="true">IF(OR(B839="",C839="Done",C839="Cancelled"),"",IF(AND(E839&lt;&gt;"",E839&lt;TODAY()),"OVERDUE",IF(AND(E839&lt;&gt;"",E839=TODAY()),"DUE TODAY",IF(AND(K839&lt;&gt;"",K839&lt;=TODAY()),"FOLLOW UP",IF(AND(E839&lt;&gt;"",E839&lt;=TODAY()+3),"DUE SOON",IF(E839="","NO DUE DATE",""))))))</f>
        <v/>
      </c>
      <c r="H839" s="45"/>
      <c r="I839" s="46"/>
      <c r="J839" s="45"/>
      <c r="K839" s="47"/>
      <c r="L839" s="47"/>
      <c r="M839" s="47"/>
      <c r="N839" s="45"/>
    </row>
    <row r="840" customFormat="false" ht="18" hidden="false" customHeight="true" outlineLevel="0" collapsed="false">
      <c r="A840" s="44" t="str">
        <f aca="false">IF(B840="","",ROW()-4)</f>
        <v/>
      </c>
      <c r="B840" s="45"/>
      <c r="C840" s="46"/>
      <c r="D840" s="46"/>
      <c r="E840" s="47"/>
      <c r="F840" s="44" t="str">
        <f aca="true">IF(OR(B840="",E840="",C840="Done",C840="Cancelled"),"",E840-TODAY())</f>
        <v/>
      </c>
      <c r="G840" s="48" t="str">
        <f aca="true">IF(OR(B840="",C840="Done",C840="Cancelled"),"",IF(AND(E840&lt;&gt;"",E840&lt;TODAY()),"OVERDUE",IF(AND(E840&lt;&gt;"",E840=TODAY()),"DUE TODAY",IF(AND(K840&lt;&gt;"",K840&lt;=TODAY()),"FOLLOW UP",IF(AND(E840&lt;&gt;"",E840&lt;=TODAY()+3),"DUE SOON",IF(E840="","NO DUE DATE",""))))))</f>
        <v/>
      </c>
      <c r="H840" s="45"/>
      <c r="I840" s="46"/>
      <c r="J840" s="45"/>
      <c r="K840" s="47"/>
      <c r="L840" s="47"/>
      <c r="M840" s="47"/>
      <c r="N840" s="45"/>
    </row>
    <row r="841" customFormat="false" ht="18" hidden="false" customHeight="true" outlineLevel="0" collapsed="false">
      <c r="A841" s="44" t="str">
        <f aca="false">IF(B841="","",ROW()-4)</f>
        <v/>
      </c>
      <c r="B841" s="45"/>
      <c r="C841" s="46"/>
      <c r="D841" s="46"/>
      <c r="E841" s="47"/>
      <c r="F841" s="44" t="str">
        <f aca="true">IF(OR(B841="",E841="",C841="Done",C841="Cancelled"),"",E841-TODAY())</f>
        <v/>
      </c>
      <c r="G841" s="48" t="str">
        <f aca="true">IF(OR(B841="",C841="Done",C841="Cancelled"),"",IF(AND(E841&lt;&gt;"",E841&lt;TODAY()),"OVERDUE",IF(AND(E841&lt;&gt;"",E841=TODAY()),"DUE TODAY",IF(AND(K841&lt;&gt;"",K841&lt;=TODAY()),"FOLLOW UP",IF(AND(E841&lt;&gt;"",E841&lt;=TODAY()+3),"DUE SOON",IF(E841="","NO DUE DATE",""))))))</f>
        <v/>
      </c>
      <c r="H841" s="45"/>
      <c r="I841" s="46"/>
      <c r="J841" s="45"/>
      <c r="K841" s="47"/>
      <c r="L841" s="47"/>
      <c r="M841" s="47"/>
      <c r="N841" s="45"/>
    </row>
    <row r="842" customFormat="false" ht="18" hidden="false" customHeight="true" outlineLevel="0" collapsed="false">
      <c r="A842" s="44" t="str">
        <f aca="false">IF(B842="","",ROW()-4)</f>
        <v/>
      </c>
      <c r="B842" s="45"/>
      <c r="C842" s="46"/>
      <c r="D842" s="46"/>
      <c r="E842" s="47"/>
      <c r="F842" s="44" t="str">
        <f aca="true">IF(OR(B842="",E842="",C842="Done",C842="Cancelled"),"",E842-TODAY())</f>
        <v/>
      </c>
      <c r="G842" s="48" t="str">
        <f aca="true">IF(OR(B842="",C842="Done",C842="Cancelled"),"",IF(AND(E842&lt;&gt;"",E842&lt;TODAY()),"OVERDUE",IF(AND(E842&lt;&gt;"",E842=TODAY()),"DUE TODAY",IF(AND(K842&lt;&gt;"",K842&lt;=TODAY()),"FOLLOW UP",IF(AND(E842&lt;&gt;"",E842&lt;=TODAY()+3),"DUE SOON",IF(E842="","NO DUE DATE",""))))))</f>
        <v/>
      </c>
      <c r="H842" s="45"/>
      <c r="I842" s="46"/>
      <c r="J842" s="45"/>
      <c r="K842" s="47"/>
      <c r="L842" s="47"/>
      <c r="M842" s="47"/>
      <c r="N842" s="45"/>
    </row>
    <row r="843" customFormat="false" ht="18" hidden="false" customHeight="true" outlineLevel="0" collapsed="false">
      <c r="A843" s="44" t="str">
        <f aca="false">IF(B843="","",ROW()-4)</f>
        <v/>
      </c>
      <c r="B843" s="45"/>
      <c r="C843" s="46"/>
      <c r="D843" s="46"/>
      <c r="E843" s="47"/>
      <c r="F843" s="44" t="str">
        <f aca="true">IF(OR(B843="",E843="",C843="Done",C843="Cancelled"),"",E843-TODAY())</f>
        <v/>
      </c>
      <c r="G843" s="48" t="str">
        <f aca="true">IF(OR(B843="",C843="Done",C843="Cancelled"),"",IF(AND(E843&lt;&gt;"",E843&lt;TODAY()),"OVERDUE",IF(AND(E843&lt;&gt;"",E843=TODAY()),"DUE TODAY",IF(AND(K843&lt;&gt;"",K843&lt;=TODAY()),"FOLLOW UP",IF(AND(E843&lt;&gt;"",E843&lt;=TODAY()+3),"DUE SOON",IF(E843="","NO DUE DATE",""))))))</f>
        <v/>
      </c>
      <c r="H843" s="45"/>
      <c r="I843" s="46"/>
      <c r="J843" s="45"/>
      <c r="K843" s="47"/>
      <c r="L843" s="47"/>
      <c r="M843" s="47"/>
      <c r="N843" s="45"/>
    </row>
    <row r="844" customFormat="false" ht="18" hidden="false" customHeight="true" outlineLevel="0" collapsed="false">
      <c r="A844" s="44" t="str">
        <f aca="false">IF(B844="","",ROW()-4)</f>
        <v/>
      </c>
      <c r="B844" s="45"/>
      <c r="C844" s="46"/>
      <c r="D844" s="46"/>
      <c r="E844" s="47"/>
      <c r="F844" s="44" t="str">
        <f aca="true">IF(OR(B844="",E844="",C844="Done",C844="Cancelled"),"",E844-TODAY())</f>
        <v/>
      </c>
      <c r="G844" s="48" t="str">
        <f aca="true">IF(OR(B844="",C844="Done",C844="Cancelled"),"",IF(AND(E844&lt;&gt;"",E844&lt;TODAY()),"OVERDUE",IF(AND(E844&lt;&gt;"",E844=TODAY()),"DUE TODAY",IF(AND(K844&lt;&gt;"",K844&lt;=TODAY()),"FOLLOW UP",IF(AND(E844&lt;&gt;"",E844&lt;=TODAY()+3),"DUE SOON",IF(E844="","NO DUE DATE",""))))))</f>
        <v/>
      </c>
      <c r="H844" s="45"/>
      <c r="I844" s="46"/>
      <c r="J844" s="45"/>
      <c r="K844" s="47"/>
      <c r="L844" s="47"/>
      <c r="M844" s="47"/>
      <c r="N844" s="45"/>
    </row>
    <row r="845" customFormat="false" ht="18" hidden="false" customHeight="true" outlineLevel="0" collapsed="false">
      <c r="A845" s="44" t="str">
        <f aca="false">IF(B845="","",ROW()-4)</f>
        <v/>
      </c>
      <c r="B845" s="45"/>
      <c r="C845" s="46"/>
      <c r="D845" s="46"/>
      <c r="E845" s="47"/>
      <c r="F845" s="44" t="str">
        <f aca="true">IF(OR(B845="",E845="",C845="Done",C845="Cancelled"),"",E845-TODAY())</f>
        <v/>
      </c>
      <c r="G845" s="48" t="str">
        <f aca="true">IF(OR(B845="",C845="Done",C845="Cancelled"),"",IF(AND(E845&lt;&gt;"",E845&lt;TODAY()),"OVERDUE",IF(AND(E845&lt;&gt;"",E845=TODAY()),"DUE TODAY",IF(AND(K845&lt;&gt;"",K845&lt;=TODAY()),"FOLLOW UP",IF(AND(E845&lt;&gt;"",E845&lt;=TODAY()+3),"DUE SOON",IF(E845="","NO DUE DATE",""))))))</f>
        <v/>
      </c>
      <c r="H845" s="45"/>
      <c r="I845" s="46"/>
      <c r="J845" s="45"/>
      <c r="K845" s="47"/>
      <c r="L845" s="47"/>
      <c r="M845" s="47"/>
      <c r="N845" s="45"/>
    </row>
    <row r="846" customFormat="false" ht="18" hidden="false" customHeight="true" outlineLevel="0" collapsed="false">
      <c r="A846" s="44" t="str">
        <f aca="false">IF(B846="","",ROW()-4)</f>
        <v/>
      </c>
      <c r="B846" s="45"/>
      <c r="C846" s="46"/>
      <c r="D846" s="46"/>
      <c r="E846" s="47"/>
      <c r="F846" s="44" t="str">
        <f aca="true">IF(OR(B846="",E846="",C846="Done",C846="Cancelled"),"",E846-TODAY())</f>
        <v/>
      </c>
      <c r="G846" s="48" t="str">
        <f aca="true">IF(OR(B846="",C846="Done",C846="Cancelled"),"",IF(AND(E846&lt;&gt;"",E846&lt;TODAY()),"OVERDUE",IF(AND(E846&lt;&gt;"",E846=TODAY()),"DUE TODAY",IF(AND(K846&lt;&gt;"",K846&lt;=TODAY()),"FOLLOW UP",IF(AND(E846&lt;&gt;"",E846&lt;=TODAY()+3),"DUE SOON",IF(E846="","NO DUE DATE",""))))))</f>
        <v/>
      </c>
      <c r="H846" s="45"/>
      <c r="I846" s="46"/>
      <c r="J846" s="45"/>
      <c r="K846" s="47"/>
      <c r="L846" s="47"/>
      <c r="M846" s="47"/>
      <c r="N846" s="45"/>
    </row>
    <row r="847" customFormat="false" ht="18" hidden="false" customHeight="true" outlineLevel="0" collapsed="false">
      <c r="A847" s="44" t="str">
        <f aca="false">IF(B847="","",ROW()-4)</f>
        <v/>
      </c>
      <c r="B847" s="45"/>
      <c r="C847" s="46"/>
      <c r="D847" s="46"/>
      <c r="E847" s="47"/>
      <c r="F847" s="44" t="str">
        <f aca="true">IF(OR(B847="",E847="",C847="Done",C847="Cancelled"),"",E847-TODAY())</f>
        <v/>
      </c>
      <c r="G847" s="48" t="str">
        <f aca="true">IF(OR(B847="",C847="Done",C847="Cancelled"),"",IF(AND(E847&lt;&gt;"",E847&lt;TODAY()),"OVERDUE",IF(AND(E847&lt;&gt;"",E847=TODAY()),"DUE TODAY",IF(AND(K847&lt;&gt;"",K847&lt;=TODAY()),"FOLLOW UP",IF(AND(E847&lt;&gt;"",E847&lt;=TODAY()+3),"DUE SOON",IF(E847="","NO DUE DATE",""))))))</f>
        <v/>
      </c>
      <c r="H847" s="45"/>
      <c r="I847" s="46"/>
      <c r="J847" s="45"/>
      <c r="K847" s="47"/>
      <c r="L847" s="47"/>
      <c r="M847" s="47"/>
      <c r="N847" s="45"/>
    </row>
    <row r="848" customFormat="false" ht="18" hidden="false" customHeight="true" outlineLevel="0" collapsed="false">
      <c r="A848" s="44" t="str">
        <f aca="false">IF(B848="","",ROW()-4)</f>
        <v/>
      </c>
      <c r="B848" s="45"/>
      <c r="C848" s="46"/>
      <c r="D848" s="46"/>
      <c r="E848" s="47"/>
      <c r="F848" s="44" t="str">
        <f aca="true">IF(OR(B848="",E848="",C848="Done",C848="Cancelled"),"",E848-TODAY())</f>
        <v/>
      </c>
      <c r="G848" s="48" t="str">
        <f aca="true">IF(OR(B848="",C848="Done",C848="Cancelled"),"",IF(AND(E848&lt;&gt;"",E848&lt;TODAY()),"OVERDUE",IF(AND(E848&lt;&gt;"",E848=TODAY()),"DUE TODAY",IF(AND(K848&lt;&gt;"",K848&lt;=TODAY()),"FOLLOW UP",IF(AND(E848&lt;&gt;"",E848&lt;=TODAY()+3),"DUE SOON",IF(E848="","NO DUE DATE",""))))))</f>
        <v/>
      </c>
      <c r="H848" s="45"/>
      <c r="I848" s="46"/>
      <c r="J848" s="45"/>
      <c r="K848" s="47"/>
      <c r="L848" s="47"/>
      <c r="M848" s="47"/>
      <c r="N848" s="45"/>
    </row>
    <row r="849" customFormat="false" ht="18" hidden="false" customHeight="true" outlineLevel="0" collapsed="false">
      <c r="A849" s="44" t="str">
        <f aca="false">IF(B849="","",ROW()-4)</f>
        <v/>
      </c>
      <c r="B849" s="45"/>
      <c r="C849" s="46"/>
      <c r="D849" s="46"/>
      <c r="E849" s="47"/>
      <c r="F849" s="44" t="str">
        <f aca="true">IF(OR(B849="",E849="",C849="Done",C849="Cancelled"),"",E849-TODAY())</f>
        <v/>
      </c>
      <c r="G849" s="48" t="str">
        <f aca="true">IF(OR(B849="",C849="Done",C849="Cancelled"),"",IF(AND(E849&lt;&gt;"",E849&lt;TODAY()),"OVERDUE",IF(AND(E849&lt;&gt;"",E849=TODAY()),"DUE TODAY",IF(AND(K849&lt;&gt;"",K849&lt;=TODAY()),"FOLLOW UP",IF(AND(E849&lt;&gt;"",E849&lt;=TODAY()+3),"DUE SOON",IF(E849="","NO DUE DATE",""))))))</f>
        <v/>
      </c>
      <c r="H849" s="45"/>
      <c r="I849" s="46"/>
      <c r="J849" s="45"/>
      <c r="K849" s="47"/>
      <c r="L849" s="47"/>
      <c r="M849" s="47"/>
      <c r="N849" s="45"/>
    </row>
    <row r="850" customFormat="false" ht="18" hidden="false" customHeight="true" outlineLevel="0" collapsed="false">
      <c r="A850" s="44" t="str">
        <f aca="false">IF(B850="","",ROW()-4)</f>
        <v/>
      </c>
      <c r="B850" s="45"/>
      <c r="C850" s="46"/>
      <c r="D850" s="46"/>
      <c r="E850" s="47"/>
      <c r="F850" s="44" t="str">
        <f aca="true">IF(OR(B850="",E850="",C850="Done",C850="Cancelled"),"",E850-TODAY())</f>
        <v/>
      </c>
      <c r="G850" s="48" t="str">
        <f aca="true">IF(OR(B850="",C850="Done",C850="Cancelled"),"",IF(AND(E850&lt;&gt;"",E850&lt;TODAY()),"OVERDUE",IF(AND(E850&lt;&gt;"",E850=TODAY()),"DUE TODAY",IF(AND(K850&lt;&gt;"",K850&lt;=TODAY()),"FOLLOW UP",IF(AND(E850&lt;&gt;"",E850&lt;=TODAY()+3),"DUE SOON",IF(E850="","NO DUE DATE",""))))))</f>
        <v/>
      </c>
      <c r="H850" s="45"/>
      <c r="I850" s="46"/>
      <c r="J850" s="45"/>
      <c r="K850" s="47"/>
      <c r="L850" s="47"/>
      <c r="M850" s="47"/>
      <c r="N850" s="45"/>
    </row>
    <row r="851" customFormat="false" ht="18" hidden="false" customHeight="true" outlineLevel="0" collapsed="false">
      <c r="A851" s="44" t="str">
        <f aca="false">IF(B851="","",ROW()-4)</f>
        <v/>
      </c>
      <c r="B851" s="45"/>
      <c r="C851" s="46"/>
      <c r="D851" s="46"/>
      <c r="E851" s="47"/>
      <c r="F851" s="44" t="str">
        <f aca="true">IF(OR(B851="",E851="",C851="Done",C851="Cancelled"),"",E851-TODAY())</f>
        <v/>
      </c>
      <c r="G851" s="48" t="str">
        <f aca="true">IF(OR(B851="",C851="Done",C851="Cancelled"),"",IF(AND(E851&lt;&gt;"",E851&lt;TODAY()),"OVERDUE",IF(AND(E851&lt;&gt;"",E851=TODAY()),"DUE TODAY",IF(AND(K851&lt;&gt;"",K851&lt;=TODAY()),"FOLLOW UP",IF(AND(E851&lt;&gt;"",E851&lt;=TODAY()+3),"DUE SOON",IF(E851="","NO DUE DATE",""))))))</f>
        <v/>
      </c>
      <c r="H851" s="45"/>
      <c r="I851" s="46"/>
      <c r="J851" s="45"/>
      <c r="K851" s="47"/>
      <c r="L851" s="47"/>
      <c r="M851" s="47"/>
      <c r="N851" s="45"/>
    </row>
    <row r="852" customFormat="false" ht="18" hidden="false" customHeight="true" outlineLevel="0" collapsed="false">
      <c r="A852" s="44" t="str">
        <f aca="false">IF(B852="","",ROW()-4)</f>
        <v/>
      </c>
      <c r="B852" s="45"/>
      <c r="C852" s="46"/>
      <c r="D852" s="46"/>
      <c r="E852" s="47"/>
      <c r="F852" s="44" t="str">
        <f aca="true">IF(OR(B852="",E852="",C852="Done",C852="Cancelled"),"",E852-TODAY())</f>
        <v/>
      </c>
      <c r="G852" s="48" t="str">
        <f aca="true">IF(OR(B852="",C852="Done",C852="Cancelled"),"",IF(AND(E852&lt;&gt;"",E852&lt;TODAY()),"OVERDUE",IF(AND(E852&lt;&gt;"",E852=TODAY()),"DUE TODAY",IF(AND(K852&lt;&gt;"",K852&lt;=TODAY()),"FOLLOW UP",IF(AND(E852&lt;&gt;"",E852&lt;=TODAY()+3),"DUE SOON",IF(E852="","NO DUE DATE",""))))))</f>
        <v/>
      </c>
      <c r="H852" s="45"/>
      <c r="I852" s="46"/>
      <c r="J852" s="45"/>
      <c r="K852" s="47"/>
      <c r="L852" s="47"/>
      <c r="M852" s="47"/>
      <c r="N852" s="45"/>
    </row>
    <row r="853" customFormat="false" ht="18" hidden="false" customHeight="true" outlineLevel="0" collapsed="false">
      <c r="A853" s="44" t="str">
        <f aca="false">IF(B853="","",ROW()-4)</f>
        <v/>
      </c>
      <c r="B853" s="45"/>
      <c r="C853" s="46"/>
      <c r="D853" s="46"/>
      <c r="E853" s="47"/>
      <c r="F853" s="44" t="str">
        <f aca="true">IF(OR(B853="",E853="",C853="Done",C853="Cancelled"),"",E853-TODAY())</f>
        <v/>
      </c>
      <c r="G853" s="48" t="str">
        <f aca="true">IF(OR(B853="",C853="Done",C853="Cancelled"),"",IF(AND(E853&lt;&gt;"",E853&lt;TODAY()),"OVERDUE",IF(AND(E853&lt;&gt;"",E853=TODAY()),"DUE TODAY",IF(AND(K853&lt;&gt;"",K853&lt;=TODAY()),"FOLLOW UP",IF(AND(E853&lt;&gt;"",E853&lt;=TODAY()+3),"DUE SOON",IF(E853="","NO DUE DATE",""))))))</f>
        <v/>
      </c>
      <c r="H853" s="45"/>
      <c r="I853" s="46"/>
      <c r="J853" s="45"/>
      <c r="K853" s="47"/>
      <c r="L853" s="47"/>
      <c r="M853" s="47"/>
      <c r="N853" s="45"/>
    </row>
    <row r="854" customFormat="false" ht="18" hidden="false" customHeight="true" outlineLevel="0" collapsed="false">
      <c r="A854" s="44" t="str">
        <f aca="false">IF(B854="","",ROW()-4)</f>
        <v/>
      </c>
      <c r="B854" s="45"/>
      <c r="C854" s="46"/>
      <c r="D854" s="46"/>
      <c r="E854" s="47"/>
      <c r="F854" s="44" t="str">
        <f aca="true">IF(OR(B854="",E854="",C854="Done",C854="Cancelled"),"",E854-TODAY())</f>
        <v/>
      </c>
      <c r="G854" s="48" t="str">
        <f aca="true">IF(OR(B854="",C854="Done",C854="Cancelled"),"",IF(AND(E854&lt;&gt;"",E854&lt;TODAY()),"OVERDUE",IF(AND(E854&lt;&gt;"",E854=TODAY()),"DUE TODAY",IF(AND(K854&lt;&gt;"",K854&lt;=TODAY()),"FOLLOW UP",IF(AND(E854&lt;&gt;"",E854&lt;=TODAY()+3),"DUE SOON",IF(E854="","NO DUE DATE",""))))))</f>
        <v/>
      </c>
      <c r="H854" s="45"/>
      <c r="I854" s="46"/>
      <c r="J854" s="45"/>
      <c r="K854" s="47"/>
      <c r="L854" s="47"/>
      <c r="M854" s="47"/>
      <c r="N854" s="45"/>
    </row>
    <row r="855" customFormat="false" ht="18" hidden="false" customHeight="true" outlineLevel="0" collapsed="false">
      <c r="A855" s="44" t="str">
        <f aca="false">IF(B855="","",ROW()-4)</f>
        <v/>
      </c>
      <c r="B855" s="45"/>
      <c r="C855" s="46"/>
      <c r="D855" s="46"/>
      <c r="E855" s="47"/>
      <c r="F855" s="44" t="str">
        <f aca="true">IF(OR(B855="",E855="",C855="Done",C855="Cancelled"),"",E855-TODAY())</f>
        <v/>
      </c>
      <c r="G855" s="48" t="str">
        <f aca="true">IF(OR(B855="",C855="Done",C855="Cancelled"),"",IF(AND(E855&lt;&gt;"",E855&lt;TODAY()),"OVERDUE",IF(AND(E855&lt;&gt;"",E855=TODAY()),"DUE TODAY",IF(AND(K855&lt;&gt;"",K855&lt;=TODAY()),"FOLLOW UP",IF(AND(E855&lt;&gt;"",E855&lt;=TODAY()+3),"DUE SOON",IF(E855="","NO DUE DATE",""))))))</f>
        <v/>
      </c>
      <c r="H855" s="45"/>
      <c r="I855" s="46"/>
      <c r="J855" s="45"/>
      <c r="K855" s="47"/>
      <c r="L855" s="47"/>
      <c r="M855" s="47"/>
      <c r="N855" s="45"/>
    </row>
    <row r="856" customFormat="false" ht="18" hidden="false" customHeight="true" outlineLevel="0" collapsed="false">
      <c r="A856" s="44" t="str">
        <f aca="false">IF(B856="","",ROW()-4)</f>
        <v/>
      </c>
      <c r="B856" s="45"/>
      <c r="C856" s="46"/>
      <c r="D856" s="46"/>
      <c r="E856" s="47"/>
      <c r="F856" s="44" t="str">
        <f aca="true">IF(OR(B856="",E856="",C856="Done",C856="Cancelled"),"",E856-TODAY())</f>
        <v/>
      </c>
      <c r="G856" s="48" t="str">
        <f aca="true">IF(OR(B856="",C856="Done",C856="Cancelled"),"",IF(AND(E856&lt;&gt;"",E856&lt;TODAY()),"OVERDUE",IF(AND(E856&lt;&gt;"",E856=TODAY()),"DUE TODAY",IF(AND(K856&lt;&gt;"",K856&lt;=TODAY()),"FOLLOW UP",IF(AND(E856&lt;&gt;"",E856&lt;=TODAY()+3),"DUE SOON",IF(E856="","NO DUE DATE",""))))))</f>
        <v/>
      </c>
      <c r="H856" s="45"/>
      <c r="I856" s="46"/>
      <c r="J856" s="45"/>
      <c r="K856" s="47"/>
      <c r="L856" s="47"/>
      <c r="M856" s="47"/>
      <c r="N856" s="45"/>
    </row>
    <row r="857" customFormat="false" ht="18" hidden="false" customHeight="true" outlineLevel="0" collapsed="false">
      <c r="A857" s="44" t="str">
        <f aca="false">IF(B857="","",ROW()-4)</f>
        <v/>
      </c>
      <c r="B857" s="45"/>
      <c r="C857" s="46"/>
      <c r="D857" s="46"/>
      <c r="E857" s="47"/>
      <c r="F857" s="44" t="str">
        <f aca="true">IF(OR(B857="",E857="",C857="Done",C857="Cancelled"),"",E857-TODAY())</f>
        <v/>
      </c>
      <c r="G857" s="48" t="str">
        <f aca="true">IF(OR(B857="",C857="Done",C857="Cancelled"),"",IF(AND(E857&lt;&gt;"",E857&lt;TODAY()),"OVERDUE",IF(AND(E857&lt;&gt;"",E857=TODAY()),"DUE TODAY",IF(AND(K857&lt;&gt;"",K857&lt;=TODAY()),"FOLLOW UP",IF(AND(E857&lt;&gt;"",E857&lt;=TODAY()+3),"DUE SOON",IF(E857="","NO DUE DATE",""))))))</f>
        <v/>
      </c>
      <c r="H857" s="45"/>
      <c r="I857" s="46"/>
      <c r="J857" s="45"/>
      <c r="K857" s="47"/>
      <c r="L857" s="47"/>
      <c r="M857" s="47"/>
      <c r="N857" s="45"/>
    </row>
    <row r="858" customFormat="false" ht="18" hidden="false" customHeight="true" outlineLevel="0" collapsed="false">
      <c r="A858" s="44" t="str">
        <f aca="false">IF(B858="","",ROW()-4)</f>
        <v/>
      </c>
      <c r="B858" s="45"/>
      <c r="C858" s="46"/>
      <c r="D858" s="46"/>
      <c r="E858" s="47"/>
      <c r="F858" s="44" t="str">
        <f aca="true">IF(OR(B858="",E858="",C858="Done",C858="Cancelled"),"",E858-TODAY())</f>
        <v/>
      </c>
      <c r="G858" s="48" t="str">
        <f aca="true">IF(OR(B858="",C858="Done",C858="Cancelled"),"",IF(AND(E858&lt;&gt;"",E858&lt;TODAY()),"OVERDUE",IF(AND(E858&lt;&gt;"",E858=TODAY()),"DUE TODAY",IF(AND(K858&lt;&gt;"",K858&lt;=TODAY()),"FOLLOW UP",IF(AND(E858&lt;&gt;"",E858&lt;=TODAY()+3),"DUE SOON",IF(E858="","NO DUE DATE",""))))))</f>
        <v/>
      </c>
      <c r="H858" s="45"/>
      <c r="I858" s="46"/>
      <c r="J858" s="45"/>
      <c r="K858" s="47"/>
      <c r="L858" s="47"/>
      <c r="M858" s="47"/>
      <c r="N858" s="45"/>
    </row>
    <row r="859" customFormat="false" ht="18" hidden="false" customHeight="true" outlineLevel="0" collapsed="false">
      <c r="A859" s="44" t="str">
        <f aca="false">IF(B859="","",ROW()-4)</f>
        <v/>
      </c>
      <c r="B859" s="45"/>
      <c r="C859" s="46"/>
      <c r="D859" s="46"/>
      <c r="E859" s="47"/>
      <c r="F859" s="44" t="str">
        <f aca="true">IF(OR(B859="",E859="",C859="Done",C859="Cancelled"),"",E859-TODAY())</f>
        <v/>
      </c>
      <c r="G859" s="48" t="str">
        <f aca="true">IF(OR(B859="",C859="Done",C859="Cancelled"),"",IF(AND(E859&lt;&gt;"",E859&lt;TODAY()),"OVERDUE",IF(AND(E859&lt;&gt;"",E859=TODAY()),"DUE TODAY",IF(AND(K859&lt;&gt;"",K859&lt;=TODAY()),"FOLLOW UP",IF(AND(E859&lt;&gt;"",E859&lt;=TODAY()+3),"DUE SOON",IF(E859="","NO DUE DATE",""))))))</f>
        <v/>
      </c>
      <c r="H859" s="45"/>
      <c r="I859" s="46"/>
      <c r="J859" s="45"/>
      <c r="K859" s="47"/>
      <c r="L859" s="47"/>
      <c r="M859" s="47"/>
      <c r="N859" s="45"/>
    </row>
    <row r="860" customFormat="false" ht="18" hidden="false" customHeight="true" outlineLevel="0" collapsed="false">
      <c r="A860" s="44" t="str">
        <f aca="false">IF(B860="","",ROW()-4)</f>
        <v/>
      </c>
      <c r="B860" s="45"/>
      <c r="C860" s="46"/>
      <c r="D860" s="46"/>
      <c r="E860" s="47"/>
      <c r="F860" s="44" t="str">
        <f aca="true">IF(OR(B860="",E860="",C860="Done",C860="Cancelled"),"",E860-TODAY())</f>
        <v/>
      </c>
      <c r="G860" s="48" t="str">
        <f aca="true">IF(OR(B860="",C860="Done",C860="Cancelled"),"",IF(AND(E860&lt;&gt;"",E860&lt;TODAY()),"OVERDUE",IF(AND(E860&lt;&gt;"",E860=TODAY()),"DUE TODAY",IF(AND(K860&lt;&gt;"",K860&lt;=TODAY()),"FOLLOW UP",IF(AND(E860&lt;&gt;"",E860&lt;=TODAY()+3),"DUE SOON",IF(E860="","NO DUE DATE",""))))))</f>
        <v/>
      </c>
      <c r="H860" s="45"/>
      <c r="I860" s="46"/>
      <c r="J860" s="45"/>
      <c r="K860" s="47"/>
      <c r="L860" s="47"/>
      <c r="M860" s="47"/>
      <c r="N860" s="45"/>
    </row>
    <row r="861" customFormat="false" ht="18" hidden="false" customHeight="true" outlineLevel="0" collapsed="false">
      <c r="A861" s="44" t="str">
        <f aca="false">IF(B861="","",ROW()-4)</f>
        <v/>
      </c>
      <c r="B861" s="45"/>
      <c r="C861" s="46"/>
      <c r="D861" s="46"/>
      <c r="E861" s="47"/>
      <c r="F861" s="44" t="str">
        <f aca="true">IF(OR(B861="",E861="",C861="Done",C861="Cancelled"),"",E861-TODAY())</f>
        <v/>
      </c>
      <c r="G861" s="48" t="str">
        <f aca="true">IF(OR(B861="",C861="Done",C861="Cancelled"),"",IF(AND(E861&lt;&gt;"",E861&lt;TODAY()),"OVERDUE",IF(AND(E861&lt;&gt;"",E861=TODAY()),"DUE TODAY",IF(AND(K861&lt;&gt;"",K861&lt;=TODAY()),"FOLLOW UP",IF(AND(E861&lt;&gt;"",E861&lt;=TODAY()+3),"DUE SOON",IF(E861="","NO DUE DATE",""))))))</f>
        <v/>
      </c>
      <c r="H861" s="45"/>
      <c r="I861" s="46"/>
      <c r="J861" s="45"/>
      <c r="K861" s="47"/>
      <c r="L861" s="47"/>
      <c r="M861" s="47"/>
      <c r="N861" s="45"/>
    </row>
    <row r="862" customFormat="false" ht="18" hidden="false" customHeight="true" outlineLevel="0" collapsed="false">
      <c r="A862" s="44" t="str">
        <f aca="false">IF(B862="","",ROW()-4)</f>
        <v/>
      </c>
      <c r="B862" s="45"/>
      <c r="C862" s="46"/>
      <c r="D862" s="46"/>
      <c r="E862" s="47"/>
      <c r="F862" s="44" t="str">
        <f aca="true">IF(OR(B862="",E862="",C862="Done",C862="Cancelled"),"",E862-TODAY())</f>
        <v/>
      </c>
      <c r="G862" s="48" t="str">
        <f aca="true">IF(OR(B862="",C862="Done",C862="Cancelled"),"",IF(AND(E862&lt;&gt;"",E862&lt;TODAY()),"OVERDUE",IF(AND(E862&lt;&gt;"",E862=TODAY()),"DUE TODAY",IF(AND(K862&lt;&gt;"",K862&lt;=TODAY()),"FOLLOW UP",IF(AND(E862&lt;&gt;"",E862&lt;=TODAY()+3),"DUE SOON",IF(E862="","NO DUE DATE",""))))))</f>
        <v/>
      </c>
      <c r="H862" s="45"/>
      <c r="I862" s="46"/>
      <c r="J862" s="45"/>
      <c r="K862" s="47"/>
      <c r="L862" s="47"/>
      <c r="M862" s="47"/>
      <c r="N862" s="45"/>
    </row>
    <row r="863" customFormat="false" ht="18" hidden="false" customHeight="true" outlineLevel="0" collapsed="false">
      <c r="A863" s="44" t="str">
        <f aca="false">IF(B863="","",ROW()-4)</f>
        <v/>
      </c>
      <c r="B863" s="45"/>
      <c r="C863" s="46"/>
      <c r="D863" s="46"/>
      <c r="E863" s="47"/>
      <c r="F863" s="44" t="str">
        <f aca="true">IF(OR(B863="",E863="",C863="Done",C863="Cancelled"),"",E863-TODAY())</f>
        <v/>
      </c>
      <c r="G863" s="48" t="str">
        <f aca="true">IF(OR(B863="",C863="Done",C863="Cancelled"),"",IF(AND(E863&lt;&gt;"",E863&lt;TODAY()),"OVERDUE",IF(AND(E863&lt;&gt;"",E863=TODAY()),"DUE TODAY",IF(AND(K863&lt;&gt;"",K863&lt;=TODAY()),"FOLLOW UP",IF(AND(E863&lt;&gt;"",E863&lt;=TODAY()+3),"DUE SOON",IF(E863="","NO DUE DATE",""))))))</f>
        <v/>
      </c>
      <c r="H863" s="45"/>
      <c r="I863" s="46"/>
      <c r="J863" s="45"/>
      <c r="K863" s="47"/>
      <c r="L863" s="47"/>
      <c r="M863" s="47"/>
      <c r="N863" s="45"/>
    </row>
    <row r="864" customFormat="false" ht="18" hidden="false" customHeight="true" outlineLevel="0" collapsed="false">
      <c r="A864" s="44" t="str">
        <f aca="false">IF(B864="","",ROW()-4)</f>
        <v/>
      </c>
      <c r="B864" s="45"/>
      <c r="C864" s="46"/>
      <c r="D864" s="46"/>
      <c r="E864" s="47"/>
      <c r="F864" s="44" t="str">
        <f aca="true">IF(OR(B864="",E864="",C864="Done",C864="Cancelled"),"",E864-TODAY())</f>
        <v/>
      </c>
      <c r="G864" s="48" t="str">
        <f aca="true">IF(OR(B864="",C864="Done",C864="Cancelled"),"",IF(AND(E864&lt;&gt;"",E864&lt;TODAY()),"OVERDUE",IF(AND(E864&lt;&gt;"",E864=TODAY()),"DUE TODAY",IF(AND(K864&lt;&gt;"",K864&lt;=TODAY()),"FOLLOW UP",IF(AND(E864&lt;&gt;"",E864&lt;=TODAY()+3),"DUE SOON",IF(E864="","NO DUE DATE",""))))))</f>
        <v/>
      </c>
      <c r="H864" s="45"/>
      <c r="I864" s="46"/>
      <c r="J864" s="45"/>
      <c r="K864" s="47"/>
      <c r="L864" s="47"/>
      <c r="M864" s="47"/>
      <c r="N864" s="45"/>
    </row>
    <row r="865" customFormat="false" ht="18" hidden="false" customHeight="true" outlineLevel="0" collapsed="false">
      <c r="A865" s="44" t="str">
        <f aca="false">IF(B865="","",ROW()-4)</f>
        <v/>
      </c>
      <c r="B865" s="45"/>
      <c r="C865" s="46"/>
      <c r="D865" s="46"/>
      <c r="E865" s="47"/>
      <c r="F865" s="44" t="str">
        <f aca="true">IF(OR(B865="",E865="",C865="Done",C865="Cancelled"),"",E865-TODAY())</f>
        <v/>
      </c>
      <c r="G865" s="48" t="str">
        <f aca="true">IF(OR(B865="",C865="Done",C865="Cancelled"),"",IF(AND(E865&lt;&gt;"",E865&lt;TODAY()),"OVERDUE",IF(AND(E865&lt;&gt;"",E865=TODAY()),"DUE TODAY",IF(AND(K865&lt;&gt;"",K865&lt;=TODAY()),"FOLLOW UP",IF(AND(E865&lt;&gt;"",E865&lt;=TODAY()+3),"DUE SOON",IF(E865="","NO DUE DATE",""))))))</f>
        <v/>
      </c>
      <c r="H865" s="45"/>
      <c r="I865" s="46"/>
      <c r="J865" s="45"/>
      <c r="K865" s="47"/>
      <c r="L865" s="47"/>
      <c r="M865" s="47"/>
      <c r="N865" s="45"/>
    </row>
    <row r="866" customFormat="false" ht="18" hidden="false" customHeight="true" outlineLevel="0" collapsed="false">
      <c r="A866" s="44" t="str">
        <f aca="false">IF(B866="","",ROW()-4)</f>
        <v/>
      </c>
      <c r="B866" s="45"/>
      <c r="C866" s="46"/>
      <c r="D866" s="46"/>
      <c r="E866" s="47"/>
      <c r="F866" s="44" t="str">
        <f aca="true">IF(OR(B866="",E866="",C866="Done",C866="Cancelled"),"",E866-TODAY())</f>
        <v/>
      </c>
      <c r="G866" s="48" t="str">
        <f aca="true">IF(OR(B866="",C866="Done",C866="Cancelled"),"",IF(AND(E866&lt;&gt;"",E866&lt;TODAY()),"OVERDUE",IF(AND(E866&lt;&gt;"",E866=TODAY()),"DUE TODAY",IF(AND(K866&lt;&gt;"",K866&lt;=TODAY()),"FOLLOW UP",IF(AND(E866&lt;&gt;"",E866&lt;=TODAY()+3),"DUE SOON",IF(E866="","NO DUE DATE",""))))))</f>
        <v/>
      </c>
      <c r="H866" s="45"/>
      <c r="I866" s="46"/>
      <c r="J866" s="45"/>
      <c r="K866" s="47"/>
      <c r="L866" s="47"/>
      <c r="M866" s="47"/>
      <c r="N866" s="45"/>
    </row>
    <row r="867" customFormat="false" ht="18" hidden="false" customHeight="true" outlineLevel="0" collapsed="false">
      <c r="A867" s="44" t="str">
        <f aca="false">IF(B867="","",ROW()-4)</f>
        <v/>
      </c>
      <c r="B867" s="45"/>
      <c r="C867" s="46"/>
      <c r="D867" s="46"/>
      <c r="E867" s="47"/>
      <c r="F867" s="44" t="str">
        <f aca="true">IF(OR(B867="",E867="",C867="Done",C867="Cancelled"),"",E867-TODAY())</f>
        <v/>
      </c>
      <c r="G867" s="48" t="str">
        <f aca="true">IF(OR(B867="",C867="Done",C867="Cancelled"),"",IF(AND(E867&lt;&gt;"",E867&lt;TODAY()),"OVERDUE",IF(AND(E867&lt;&gt;"",E867=TODAY()),"DUE TODAY",IF(AND(K867&lt;&gt;"",K867&lt;=TODAY()),"FOLLOW UP",IF(AND(E867&lt;&gt;"",E867&lt;=TODAY()+3),"DUE SOON",IF(E867="","NO DUE DATE",""))))))</f>
        <v/>
      </c>
      <c r="H867" s="45"/>
      <c r="I867" s="46"/>
      <c r="J867" s="45"/>
      <c r="K867" s="47"/>
      <c r="L867" s="47"/>
      <c r="M867" s="47"/>
      <c r="N867" s="45"/>
    </row>
    <row r="868" customFormat="false" ht="18" hidden="false" customHeight="true" outlineLevel="0" collapsed="false">
      <c r="A868" s="44" t="str">
        <f aca="false">IF(B868="","",ROW()-4)</f>
        <v/>
      </c>
      <c r="B868" s="45"/>
      <c r="C868" s="46"/>
      <c r="D868" s="46"/>
      <c r="E868" s="47"/>
      <c r="F868" s="44" t="str">
        <f aca="true">IF(OR(B868="",E868="",C868="Done",C868="Cancelled"),"",E868-TODAY())</f>
        <v/>
      </c>
      <c r="G868" s="48" t="str">
        <f aca="true">IF(OR(B868="",C868="Done",C868="Cancelled"),"",IF(AND(E868&lt;&gt;"",E868&lt;TODAY()),"OVERDUE",IF(AND(E868&lt;&gt;"",E868=TODAY()),"DUE TODAY",IF(AND(K868&lt;&gt;"",K868&lt;=TODAY()),"FOLLOW UP",IF(AND(E868&lt;&gt;"",E868&lt;=TODAY()+3),"DUE SOON",IF(E868="","NO DUE DATE",""))))))</f>
        <v/>
      </c>
      <c r="H868" s="45"/>
      <c r="I868" s="46"/>
      <c r="J868" s="45"/>
      <c r="K868" s="47"/>
      <c r="L868" s="47"/>
      <c r="M868" s="47"/>
      <c r="N868" s="45"/>
    </row>
    <row r="869" customFormat="false" ht="18" hidden="false" customHeight="true" outlineLevel="0" collapsed="false">
      <c r="A869" s="44" t="str">
        <f aca="false">IF(B869="","",ROW()-4)</f>
        <v/>
      </c>
      <c r="B869" s="45"/>
      <c r="C869" s="46"/>
      <c r="D869" s="46"/>
      <c r="E869" s="47"/>
      <c r="F869" s="44" t="str">
        <f aca="true">IF(OR(B869="",E869="",C869="Done",C869="Cancelled"),"",E869-TODAY())</f>
        <v/>
      </c>
      <c r="G869" s="48" t="str">
        <f aca="true">IF(OR(B869="",C869="Done",C869="Cancelled"),"",IF(AND(E869&lt;&gt;"",E869&lt;TODAY()),"OVERDUE",IF(AND(E869&lt;&gt;"",E869=TODAY()),"DUE TODAY",IF(AND(K869&lt;&gt;"",K869&lt;=TODAY()),"FOLLOW UP",IF(AND(E869&lt;&gt;"",E869&lt;=TODAY()+3),"DUE SOON",IF(E869="","NO DUE DATE",""))))))</f>
        <v/>
      </c>
      <c r="H869" s="45"/>
      <c r="I869" s="46"/>
      <c r="J869" s="45"/>
      <c r="K869" s="47"/>
      <c r="L869" s="47"/>
      <c r="M869" s="47"/>
      <c r="N869" s="45"/>
    </row>
    <row r="870" customFormat="false" ht="18" hidden="false" customHeight="true" outlineLevel="0" collapsed="false">
      <c r="A870" s="44" t="str">
        <f aca="false">IF(B870="","",ROW()-4)</f>
        <v/>
      </c>
      <c r="B870" s="45"/>
      <c r="C870" s="46"/>
      <c r="D870" s="46"/>
      <c r="E870" s="47"/>
      <c r="F870" s="44" t="str">
        <f aca="true">IF(OR(B870="",E870="",C870="Done",C870="Cancelled"),"",E870-TODAY())</f>
        <v/>
      </c>
      <c r="G870" s="48" t="str">
        <f aca="true">IF(OR(B870="",C870="Done",C870="Cancelled"),"",IF(AND(E870&lt;&gt;"",E870&lt;TODAY()),"OVERDUE",IF(AND(E870&lt;&gt;"",E870=TODAY()),"DUE TODAY",IF(AND(K870&lt;&gt;"",K870&lt;=TODAY()),"FOLLOW UP",IF(AND(E870&lt;&gt;"",E870&lt;=TODAY()+3),"DUE SOON",IF(E870="","NO DUE DATE",""))))))</f>
        <v/>
      </c>
      <c r="H870" s="45"/>
      <c r="I870" s="46"/>
      <c r="J870" s="45"/>
      <c r="K870" s="47"/>
      <c r="L870" s="47"/>
      <c r="M870" s="47"/>
      <c r="N870" s="45"/>
    </row>
    <row r="871" customFormat="false" ht="18" hidden="false" customHeight="true" outlineLevel="0" collapsed="false">
      <c r="A871" s="44" t="str">
        <f aca="false">IF(B871="","",ROW()-4)</f>
        <v/>
      </c>
      <c r="B871" s="45"/>
      <c r="C871" s="46"/>
      <c r="D871" s="46"/>
      <c r="E871" s="47"/>
      <c r="F871" s="44" t="str">
        <f aca="true">IF(OR(B871="",E871="",C871="Done",C871="Cancelled"),"",E871-TODAY())</f>
        <v/>
      </c>
      <c r="G871" s="48" t="str">
        <f aca="true">IF(OR(B871="",C871="Done",C871="Cancelled"),"",IF(AND(E871&lt;&gt;"",E871&lt;TODAY()),"OVERDUE",IF(AND(E871&lt;&gt;"",E871=TODAY()),"DUE TODAY",IF(AND(K871&lt;&gt;"",K871&lt;=TODAY()),"FOLLOW UP",IF(AND(E871&lt;&gt;"",E871&lt;=TODAY()+3),"DUE SOON",IF(E871="","NO DUE DATE",""))))))</f>
        <v/>
      </c>
      <c r="H871" s="45"/>
      <c r="I871" s="46"/>
      <c r="J871" s="45"/>
      <c r="K871" s="47"/>
      <c r="L871" s="47"/>
      <c r="M871" s="47"/>
      <c r="N871" s="45"/>
    </row>
    <row r="872" customFormat="false" ht="18" hidden="false" customHeight="true" outlineLevel="0" collapsed="false">
      <c r="A872" s="44" t="str">
        <f aca="false">IF(B872="","",ROW()-4)</f>
        <v/>
      </c>
      <c r="B872" s="45"/>
      <c r="C872" s="46"/>
      <c r="D872" s="46"/>
      <c r="E872" s="47"/>
      <c r="F872" s="44" t="str">
        <f aca="true">IF(OR(B872="",E872="",C872="Done",C872="Cancelled"),"",E872-TODAY())</f>
        <v/>
      </c>
      <c r="G872" s="48" t="str">
        <f aca="true">IF(OR(B872="",C872="Done",C872="Cancelled"),"",IF(AND(E872&lt;&gt;"",E872&lt;TODAY()),"OVERDUE",IF(AND(E872&lt;&gt;"",E872=TODAY()),"DUE TODAY",IF(AND(K872&lt;&gt;"",K872&lt;=TODAY()),"FOLLOW UP",IF(AND(E872&lt;&gt;"",E872&lt;=TODAY()+3),"DUE SOON",IF(E872="","NO DUE DATE",""))))))</f>
        <v/>
      </c>
      <c r="H872" s="45"/>
      <c r="I872" s="46"/>
      <c r="J872" s="45"/>
      <c r="K872" s="47"/>
      <c r="L872" s="47"/>
      <c r="M872" s="47"/>
      <c r="N872" s="45"/>
    </row>
    <row r="873" customFormat="false" ht="18" hidden="false" customHeight="true" outlineLevel="0" collapsed="false">
      <c r="A873" s="44" t="str">
        <f aca="false">IF(B873="","",ROW()-4)</f>
        <v/>
      </c>
      <c r="B873" s="45"/>
      <c r="C873" s="46"/>
      <c r="D873" s="46"/>
      <c r="E873" s="47"/>
      <c r="F873" s="44" t="str">
        <f aca="true">IF(OR(B873="",E873="",C873="Done",C873="Cancelled"),"",E873-TODAY())</f>
        <v/>
      </c>
      <c r="G873" s="48" t="str">
        <f aca="true">IF(OR(B873="",C873="Done",C873="Cancelled"),"",IF(AND(E873&lt;&gt;"",E873&lt;TODAY()),"OVERDUE",IF(AND(E873&lt;&gt;"",E873=TODAY()),"DUE TODAY",IF(AND(K873&lt;&gt;"",K873&lt;=TODAY()),"FOLLOW UP",IF(AND(E873&lt;&gt;"",E873&lt;=TODAY()+3),"DUE SOON",IF(E873="","NO DUE DATE",""))))))</f>
        <v/>
      </c>
      <c r="H873" s="45"/>
      <c r="I873" s="46"/>
      <c r="J873" s="45"/>
      <c r="K873" s="47"/>
      <c r="L873" s="47"/>
      <c r="M873" s="47"/>
      <c r="N873" s="45"/>
    </row>
    <row r="874" customFormat="false" ht="18" hidden="false" customHeight="true" outlineLevel="0" collapsed="false">
      <c r="A874" s="44" t="str">
        <f aca="false">IF(B874="","",ROW()-4)</f>
        <v/>
      </c>
      <c r="B874" s="45"/>
      <c r="C874" s="46"/>
      <c r="D874" s="46"/>
      <c r="E874" s="47"/>
      <c r="F874" s="44" t="str">
        <f aca="true">IF(OR(B874="",E874="",C874="Done",C874="Cancelled"),"",E874-TODAY())</f>
        <v/>
      </c>
      <c r="G874" s="48" t="str">
        <f aca="true">IF(OR(B874="",C874="Done",C874="Cancelled"),"",IF(AND(E874&lt;&gt;"",E874&lt;TODAY()),"OVERDUE",IF(AND(E874&lt;&gt;"",E874=TODAY()),"DUE TODAY",IF(AND(K874&lt;&gt;"",K874&lt;=TODAY()),"FOLLOW UP",IF(AND(E874&lt;&gt;"",E874&lt;=TODAY()+3),"DUE SOON",IF(E874="","NO DUE DATE",""))))))</f>
        <v/>
      </c>
      <c r="H874" s="45"/>
      <c r="I874" s="46"/>
      <c r="J874" s="45"/>
      <c r="K874" s="47"/>
      <c r="L874" s="47"/>
      <c r="M874" s="47"/>
      <c r="N874" s="45"/>
    </row>
    <row r="875" customFormat="false" ht="18" hidden="false" customHeight="true" outlineLevel="0" collapsed="false">
      <c r="A875" s="44" t="str">
        <f aca="false">IF(B875="","",ROW()-4)</f>
        <v/>
      </c>
      <c r="B875" s="45"/>
      <c r="C875" s="46"/>
      <c r="D875" s="46"/>
      <c r="E875" s="47"/>
      <c r="F875" s="44" t="str">
        <f aca="true">IF(OR(B875="",E875="",C875="Done",C875="Cancelled"),"",E875-TODAY())</f>
        <v/>
      </c>
      <c r="G875" s="48" t="str">
        <f aca="true">IF(OR(B875="",C875="Done",C875="Cancelled"),"",IF(AND(E875&lt;&gt;"",E875&lt;TODAY()),"OVERDUE",IF(AND(E875&lt;&gt;"",E875=TODAY()),"DUE TODAY",IF(AND(K875&lt;&gt;"",K875&lt;=TODAY()),"FOLLOW UP",IF(AND(E875&lt;&gt;"",E875&lt;=TODAY()+3),"DUE SOON",IF(E875="","NO DUE DATE",""))))))</f>
        <v/>
      </c>
      <c r="H875" s="45"/>
      <c r="I875" s="46"/>
      <c r="J875" s="45"/>
      <c r="K875" s="47"/>
      <c r="L875" s="47"/>
      <c r="M875" s="47"/>
      <c r="N875" s="45"/>
    </row>
    <row r="876" customFormat="false" ht="18" hidden="false" customHeight="true" outlineLevel="0" collapsed="false">
      <c r="A876" s="44" t="str">
        <f aca="false">IF(B876="","",ROW()-4)</f>
        <v/>
      </c>
      <c r="B876" s="45"/>
      <c r="C876" s="46"/>
      <c r="D876" s="46"/>
      <c r="E876" s="47"/>
      <c r="F876" s="44" t="str">
        <f aca="true">IF(OR(B876="",E876="",C876="Done",C876="Cancelled"),"",E876-TODAY())</f>
        <v/>
      </c>
      <c r="G876" s="48" t="str">
        <f aca="true">IF(OR(B876="",C876="Done",C876="Cancelled"),"",IF(AND(E876&lt;&gt;"",E876&lt;TODAY()),"OVERDUE",IF(AND(E876&lt;&gt;"",E876=TODAY()),"DUE TODAY",IF(AND(K876&lt;&gt;"",K876&lt;=TODAY()),"FOLLOW UP",IF(AND(E876&lt;&gt;"",E876&lt;=TODAY()+3),"DUE SOON",IF(E876="","NO DUE DATE",""))))))</f>
        <v/>
      </c>
      <c r="H876" s="45"/>
      <c r="I876" s="46"/>
      <c r="J876" s="45"/>
      <c r="K876" s="47"/>
      <c r="L876" s="47"/>
      <c r="M876" s="47"/>
      <c r="N876" s="45"/>
    </row>
    <row r="877" customFormat="false" ht="18" hidden="false" customHeight="true" outlineLevel="0" collapsed="false">
      <c r="A877" s="44" t="str">
        <f aca="false">IF(B877="","",ROW()-4)</f>
        <v/>
      </c>
      <c r="B877" s="45"/>
      <c r="C877" s="46"/>
      <c r="D877" s="46"/>
      <c r="E877" s="47"/>
      <c r="F877" s="44" t="str">
        <f aca="true">IF(OR(B877="",E877="",C877="Done",C877="Cancelled"),"",E877-TODAY())</f>
        <v/>
      </c>
      <c r="G877" s="48" t="str">
        <f aca="true">IF(OR(B877="",C877="Done",C877="Cancelled"),"",IF(AND(E877&lt;&gt;"",E877&lt;TODAY()),"OVERDUE",IF(AND(E877&lt;&gt;"",E877=TODAY()),"DUE TODAY",IF(AND(K877&lt;&gt;"",K877&lt;=TODAY()),"FOLLOW UP",IF(AND(E877&lt;&gt;"",E877&lt;=TODAY()+3),"DUE SOON",IF(E877="","NO DUE DATE",""))))))</f>
        <v/>
      </c>
      <c r="H877" s="45"/>
      <c r="I877" s="46"/>
      <c r="J877" s="45"/>
      <c r="K877" s="47"/>
      <c r="L877" s="47"/>
      <c r="M877" s="47"/>
      <c r="N877" s="45"/>
    </row>
    <row r="878" customFormat="false" ht="18" hidden="false" customHeight="true" outlineLevel="0" collapsed="false">
      <c r="A878" s="44" t="str">
        <f aca="false">IF(B878="","",ROW()-4)</f>
        <v/>
      </c>
      <c r="B878" s="45"/>
      <c r="C878" s="46"/>
      <c r="D878" s="46"/>
      <c r="E878" s="47"/>
      <c r="F878" s="44" t="str">
        <f aca="true">IF(OR(B878="",E878="",C878="Done",C878="Cancelled"),"",E878-TODAY())</f>
        <v/>
      </c>
      <c r="G878" s="48" t="str">
        <f aca="true">IF(OR(B878="",C878="Done",C878="Cancelled"),"",IF(AND(E878&lt;&gt;"",E878&lt;TODAY()),"OVERDUE",IF(AND(E878&lt;&gt;"",E878=TODAY()),"DUE TODAY",IF(AND(K878&lt;&gt;"",K878&lt;=TODAY()),"FOLLOW UP",IF(AND(E878&lt;&gt;"",E878&lt;=TODAY()+3),"DUE SOON",IF(E878="","NO DUE DATE",""))))))</f>
        <v/>
      </c>
      <c r="H878" s="45"/>
      <c r="I878" s="46"/>
      <c r="J878" s="45"/>
      <c r="K878" s="47"/>
      <c r="L878" s="47"/>
      <c r="M878" s="47"/>
      <c r="N878" s="45"/>
    </row>
    <row r="879" customFormat="false" ht="18" hidden="false" customHeight="true" outlineLevel="0" collapsed="false">
      <c r="A879" s="44" t="str">
        <f aca="false">IF(B879="","",ROW()-4)</f>
        <v/>
      </c>
      <c r="B879" s="45"/>
      <c r="C879" s="46"/>
      <c r="D879" s="46"/>
      <c r="E879" s="47"/>
      <c r="F879" s="44" t="str">
        <f aca="true">IF(OR(B879="",E879="",C879="Done",C879="Cancelled"),"",E879-TODAY())</f>
        <v/>
      </c>
      <c r="G879" s="48" t="str">
        <f aca="true">IF(OR(B879="",C879="Done",C879="Cancelled"),"",IF(AND(E879&lt;&gt;"",E879&lt;TODAY()),"OVERDUE",IF(AND(E879&lt;&gt;"",E879=TODAY()),"DUE TODAY",IF(AND(K879&lt;&gt;"",K879&lt;=TODAY()),"FOLLOW UP",IF(AND(E879&lt;&gt;"",E879&lt;=TODAY()+3),"DUE SOON",IF(E879="","NO DUE DATE",""))))))</f>
        <v/>
      </c>
      <c r="H879" s="45"/>
      <c r="I879" s="46"/>
      <c r="J879" s="45"/>
      <c r="K879" s="47"/>
      <c r="L879" s="47"/>
      <c r="M879" s="47"/>
      <c r="N879" s="45"/>
    </row>
    <row r="880" customFormat="false" ht="18" hidden="false" customHeight="true" outlineLevel="0" collapsed="false">
      <c r="A880" s="44" t="str">
        <f aca="false">IF(B880="","",ROW()-4)</f>
        <v/>
      </c>
      <c r="B880" s="45"/>
      <c r="C880" s="46"/>
      <c r="D880" s="46"/>
      <c r="E880" s="47"/>
      <c r="F880" s="44" t="str">
        <f aca="true">IF(OR(B880="",E880="",C880="Done",C880="Cancelled"),"",E880-TODAY())</f>
        <v/>
      </c>
      <c r="G880" s="48" t="str">
        <f aca="true">IF(OR(B880="",C880="Done",C880="Cancelled"),"",IF(AND(E880&lt;&gt;"",E880&lt;TODAY()),"OVERDUE",IF(AND(E880&lt;&gt;"",E880=TODAY()),"DUE TODAY",IF(AND(K880&lt;&gt;"",K880&lt;=TODAY()),"FOLLOW UP",IF(AND(E880&lt;&gt;"",E880&lt;=TODAY()+3),"DUE SOON",IF(E880="","NO DUE DATE",""))))))</f>
        <v/>
      </c>
      <c r="H880" s="45"/>
      <c r="I880" s="46"/>
      <c r="J880" s="45"/>
      <c r="K880" s="47"/>
      <c r="L880" s="47"/>
      <c r="M880" s="47"/>
      <c r="N880" s="45"/>
    </row>
    <row r="881" customFormat="false" ht="18" hidden="false" customHeight="true" outlineLevel="0" collapsed="false">
      <c r="A881" s="44" t="str">
        <f aca="false">IF(B881="","",ROW()-4)</f>
        <v/>
      </c>
      <c r="B881" s="45"/>
      <c r="C881" s="46"/>
      <c r="D881" s="46"/>
      <c r="E881" s="47"/>
      <c r="F881" s="44" t="str">
        <f aca="true">IF(OR(B881="",E881="",C881="Done",C881="Cancelled"),"",E881-TODAY())</f>
        <v/>
      </c>
      <c r="G881" s="48" t="str">
        <f aca="true">IF(OR(B881="",C881="Done",C881="Cancelled"),"",IF(AND(E881&lt;&gt;"",E881&lt;TODAY()),"OVERDUE",IF(AND(E881&lt;&gt;"",E881=TODAY()),"DUE TODAY",IF(AND(K881&lt;&gt;"",K881&lt;=TODAY()),"FOLLOW UP",IF(AND(E881&lt;&gt;"",E881&lt;=TODAY()+3),"DUE SOON",IF(E881="","NO DUE DATE",""))))))</f>
        <v/>
      </c>
      <c r="H881" s="45"/>
      <c r="I881" s="46"/>
      <c r="J881" s="45"/>
      <c r="K881" s="47"/>
      <c r="L881" s="47"/>
      <c r="M881" s="47"/>
      <c r="N881" s="45"/>
    </row>
    <row r="882" customFormat="false" ht="18" hidden="false" customHeight="true" outlineLevel="0" collapsed="false">
      <c r="A882" s="44" t="str">
        <f aca="false">IF(B882="","",ROW()-4)</f>
        <v/>
      </c>
      <c r="B882" s="45"/>
      <c r="C882" s="46"/>
      <c r="D882" s="46"/>
      <c r="E882" s="47"/>
      <c r="F882" s="44" t="str">
        <f aca="true">IF(OR(B882="",E882="",C882="Done",C882="Cancelled"),"",E882-TODAY())</f>
        <v/>
      </c>
      <c r="G882" s="48" t="str">
        <f aca="true">IF(OR(B882="",C882="Done",C882="Cancelled"),"",IF(AND(E882&lt;&gt;"",E882&lt;TODAY()),"OVERDUE",IF(AND(E882&lt;&gt;"",E882=TODAY()),"DUE TODAY",IF(AND(K882&lt;&gt;"",K882&lt;=TODAY()),"FOLLOW UP",IF(AND(E882&lt;&gt;"",E882&lt;=TODAY()+3),"DUE SOON",IF(E882="","NO DUE DATE",""))))))</f>
        <v/>
      </c>
      <c r="H882" s="45"/>
      <c r="I882" s="46"/>
      <c r="J882" s="45"/>
      <c r="K882" s="47"/>
      <c r="L882" s="47"/>
      <c r="M882" s="47"/>
      <c r="N882" s="45"/>
    </row>
    <row r="883" customFormat="false" ht="18" hidden="false" customHeight="true" outlineLevel="0" collapsed="false">
      <c r="A883" s="44" t="str">
        <f aca="false">IF(B883="","",ROW()-4)</f>
        <v/>
      </c>
      <c r="B883" s="45"/>
      <c r="C883" s="46"/>
      <c r="D883" s="46"/>
      <c r="E883" s="47"/>
      <c r="F883" s="44" t="str">
        <f aca="true">IF(OR(B883="",E883="",C883="Done",C883="Cancelled"),"",E883-TODAY())</f>
        <v/>
      </c>
      <c r="G883" s="48" t="str">
        <f aca="true">IF(OR(B883="",C883="Done",C883="Cancelled"),"",IF(AND(E883&lt;&gt;"",E883&lt;TODAY()),"OVERDUE",IF(AND(E883&lt;&gt;"",E883=TODAY()),"DUE TODAY",IF(AND(K883&lt;&gt;"",K883&lt;=TODAY()),"FOLLOW UP",IF(AND(E883&lt;&gt;"",E883&lt;=TODAY()+3),"DUE SOON",IF(E883="","NO DUE DATE",""))))))</f>
        <v/>
      </c>
      <c r="H883" s="45"/>
      <c r="I883" s="46"/>
      <c r="J883" s="45"/>
      <c r="K883" s="47"/>
      <c r="L883" s="47"/>
      <c r="M883" s="47"/>
      <c r="N883" s="45"/>
    </row>
    <row r="884" customFormat="false" ht="18" hidden="false" customHeight="true" outlineLevel="0" collapsed="false">
      <c r="A884" s="44" t="str">
        <f aca="false">IF(B884="","",ROW()-4)</f>
        <v/>
      </c>
      <c r="B884" s="45"/>
      <c r="C884" s="46"/>
      <c r="D884" s="46"/>
      <c r="E884" s="47"/>
      <c r="F884" s="44" t="str">
        <f aca="true">IF(OR(B884="",E884="",C884="Done",C884="Cancelled"),"",E884-TODAY())</f>
        <v/>
      </c>
      <c r="G884" s="48" t="str">
        <f aca="true">IF(OR(B884="",C884="Done",C884="Cancelled"),"",IF(AND(E884&lt;&gt;"",E884&lt;TODAY()),"OVERDUE",IF(AND(E884&lt;&gt;"",E884=TODAY()),"DUE TODAY",IF(AND(K884&lt;&gt;"",K884&lt;=TODAY()),"FOLLOW UP",IF(AND(E884&lt;&gt;"",E884&lt;=TODAY()+3),"DUE SOON",IF(E884="","NO DUE DATE",""))))))</f>
        <v/>
      </c>
      <c r="H884" s="45"/>
      <c r="I884" s="46"/>
      <c r="J884" s="45"/>
      <c r="K884" s="47"/>
      <c r="L884" s="47"/>
      <c r="M884" s="47"/>
      <c r="N884" s="45"/>
    </row>
    <row r="885" customFormat="false" ht="18" hidden="false" customHeight="true" outlineLevel="0" collapsed="false">
      <c r="A885" s="44" t="str">
        <f aca="false">IF(B885="","",ROW()-4)</f>
        <v/>
      </c>
      <c r="B885" s="45"/>
      <c r="C885" s="46"/>
      <c r="D885" s="46"/>
      <c r="E885" s="47"/>
      <c r="F885" s="44" t="str">
        <f aca="true">IF(OR(B885="",E885="",C885="Done",C885="Cancelled"),"",E885-TODAY())</f>
        <v/>
      </c>
      <c r="G885" s="48" t="str">
        <f aca="true">IF(OR(B885="",C885="Done",C885="Cancelled"),"",IF(AND(E885&lt;&gt;"",E885&lt;TODAY()),"OVERDUE",IF(AND(E885&lt;&gt;"",E885=TODAY()),"DUE TODAY",IF(AND(K885&lt;&gt;"",K885&lt;=TODAY()),"FOLLOW UP",IF(AND(E885&lt;&gt;"",E885&lt;=TODAY()+3),"DUE SOON",IF(E885="","NO DUE DATE",""))))))</f>
        <v/>
      </c>
      <c r="H885" s="45"/>
      <c r="I885" s="46"/>
      <c r="J885" s="45"/>
      <c r="K885" s="47"/>
      <c r="L885" s="47"/>
      <c r="M885" s="47"/>
      <c r="N885" s="45"/>
    </row>
    <row r="886" customFormat="false" ht="18" hidden="false" customHeight="true" outlineLevel="0" collapsed="false">
      <c r="A886" s="44" t="str">
        <f aca="false">IF(B886="","",ROW()-4)</f>
        <v/>
      </c>
      <c r="B886" s="45"/>
      <c r="C886" s="46"/>
      <c r="D886" s="46"/>
      <c r="E886" s="47"/>
      <c r="F886" s="44" t="str">
        <f aca="true">IF(OR(B886="",E886="",C886="Done",C886="Cancelled"),"",E886-TODAY())</f>
        <v/>
      </c>
      <c r="G886" s="48" t="str">
        <f aca="true">IF(OR(B886="",C886="Done",C886="Cancelled"),"",IF(AND(E886&lt;&gt;"",E886&lt;TODAY()),"OVERDUE",IF(AND(E886&lt;&gt;"",E886=TODAY()),"DUE TODAY",IF(AND(K886&lt;&gt;"",K886&lt;=TODAY()),"FOLLOW UP",IF(AND(E886&lt;&gt;"",E886&lt;=TODAY()+3),"DUE SOON",IF(E886="","NO DUE DATE",""))))))</f>
        <v/>
      </c>
      <c r="H886" s="45"/>
      <c r="I886" s="46"/>
      <c r="J886" s="45"/>
      <c r="K886" s="47"/>
      <c r="L886" s="47"/>
      <c r="M886" s="47"/>
      <c r="N886" s="45"/>
    </row>
    <row r="887" customFormat="false" ht="18" hidden="false" customHeight="true" outlineLevel="0" collapsed="false">
      <c r="A887" s="44" t="str">
        <f aca="false">IF(B887="","",ROW()-4)</f>
        <v/>
      </c>
      <c r="B887" s="45"/>
      <c r="C887" s="46"/>
      <c r="D887" s="46"/>
      <c r="E887" s="47"/>
      <c r="F887" s="44" t="str">
        <f aca="true">IF(OR(B887="",E887="",C887="Done",C887="Cancelled"),"",E887-TODAY())</f>
        <v/>
      </c>
      <c r="G887" s="48" t="str">
        <f aca="true">IF(OR(B887="",C887="Done",C887="Cancelled"),"",IF(AND(E887&lt;&gt;"",E887&lt;TODAY()),"OVERDUE",IF(AND(E887&lt;&gt;"",E887=TODAY()),"DUE TODAY",IF(AND(K887&lt;&gt;"",K887&lt;=TODAY()),"FOLLOW UP",IF(AND(E887&lt;&gt;"",E887&lt;=TODAY()+3),"DUE SOON",IF(E887="","NO DUE DATE",""))))))</f>
        <v/>
      </c>
      <c r="H887" s="45"/>
      <c r="I887" s="46"/>
      <c r="J887" s="45"/>
      <c r="K887" s="47"/>
      <c r="L887" s="47"/>
      <c r="M887" s="47"/>
      <c r="N887" s="45"/>
    </row>
    <row r="888" customFormat="false" ht="18" hidden="false" customHeight="true" outlineLevel="0" collapsed="false">
      <c r="A888" s="44" t="str">
        <f aca="false">IF(B888="","",ROW()-4)</f>
        <v/>
      </c>
      <c r="B888" s="45"/>
      <c r="C888" s="46"/>
      <c r="D888" s="46"/>
      <c r="E888" s="47"/>
      <c r="F888" s="44" t="str">
        <f aca="true">IF(OR(B888="",E888="",C888="Done",C888="Cancelled"),"",E888-TODAY())</f>
        <v/>
      </c>
      <c r="G888" s="48" t="str">
        <f aca="true">IF(OR(B888="",C888="Done",C888="Cancelled"),"",IF(AND(E888&lt;&gt;"",E888&lt;TODAY()),"OVERDUE",IF(AND(E888&lt;&gt;"",E888=TODAY()),"DUE TODAY",IF(AND(K888&lt;&gt;"",K888&lt;=TODAY()),"FOLLOW UP",IF(AND(E888&lt;&gt;"",E888&lt;=TODAY()+3),"DUE SOON",IF(E888="","NO DUE DATE",""))))))</f>
        <v/>
      </c>
      <c r="H888" s="45"/>
      <c r="I888" s="46"/>
      <c r="J888" s="45"/>
      <c r="K888" s="47"/>
      <c r="L888" s="47"/>
      <c r="M888" s="47"/>
      <c r="N888" s="45"/>
    </row>
    <row r="889" customFormat="false" ht="18" hidden="false" customHeight="true" outlineLevel="0" collapsed="false">
      <c r="A889" s="44" t="str">
        <f aca="false">IF(B889="","",ROW()-4)</f>
        <v/>
      </c>
      <c r="B889" s="45"/>
      <c r="C889" s="46"/>
      <c r="D889" s="46"/>
      <c r="E889" s="47"/>
      <c r="F889" s="44" t="str">
        <f aca="true">IF(OR(B889="",E889="",C889="Done",C889="Cancelled"),"",E889-TODAY())</f>
        <v/>
      </c>
      <c r="G889" s="48" t="str">
        <f aca="true">IF(OR(B889="",C889="Done",C889="Cancelled"),"",IF(AND(E889&lt;&gt;"",E889&lt;TODAY()),"OVERDUE",IF(AND(E889&lt;&gt;"",E889=TODAY()),"DUE TODAY",IF(AND(K889&lt;&gt;"",K889&lt;=TODAY()),"FOLLOW UP",IF(AND(E889&lt;&gt;"",E889&lt;=TODAY()+3),"DUE SOON",IF(E889="","NO DUE DATE",""))))))</f>
        <v/>
      </c>
      <c r="H889" s="45"/>
      <c r="I889" s="46"/>
      <c r="J889" s="45"/>
      <c r="K889" s="47"/>
      <c r="L889" s="47"/>
      <c r="M889" s="47"/>
      <c r="N889" s="45"/>
    </row>
    <row r="890" customFormat="false" ht="18" hidden="false" customHeight="true" outlineLevel="0" collapsed="false">
      <c r="A890" s="44" t="str">
        <f aca="false">IF(B890="","",ROW()-4)</f>
        <v/>
      </c>
      <c r="B890" s="45"/>
      <c r="C890" s="46"/>
      <c r="D890" s="46"/>
      <c r="E890" s="47"/>
      <c r="F890" s="44" t="str">
        <f aca="true">IF(OR(B890="",E890="",C890="Done",C890="Cancelled"),"",E890-TODAY())</f>
        <v/>
      </c>
      <c r="G890" s="48" t="str">
        <f aca="true">IF(OR(B890="",C890="Done",C890="Cancelled"),"",IF(AND(E890&lt;&gt;"",E890&lt;TODAY()),"OVERDUE",IF(AND(E890&lt;&gt;"",E890=TODAY()),"DUE TODAY",IF(AND(K890&lt;&gt;"",K890&lt;=TODAY()),"FOLLOW UP",IF(AND(E890&lt;&gt;"",E890&lt;=TODAY()+3),"DUE SOON",IF(E890="","NO DUE DATE",""))))))</f>
        <v/>
      </c>
      <c r="H890" s="45"/>
      <c r="I890" s="46"/>
      <c r="J890" s="45"/>
      <c r="K890" s="47"/>
      <c r="L890" s="47"/>
      <c r="M890" s="47"/>
      <c r="N890" s="45"/>
    </row>
    <row r="891" customFormat="false" ht="18" hidden="false" customHeight="true" outlineLevel="0" collapsed="false">
      <c r="A891" s="44" t="str">
        <f aca="false">IF(B891="","",ROW()-4)</f>
        <v/>
      </c>
      <c r="B891" s="45"/>
      <c r="C891" s="46"/>
      <c r="D891" s="46"/>
      <c r="E891" s="47"/>
      <c r="F891" s="44" t="str">
        <f aca="true">IF(OR(B891="",E891="",C891="Done",C891="Cancelled"),"",E891-TODAY())</f>
        <v/>
      </c>
      <c r="G891" s="48" t="str">
        <f aca="true">IF(OR(B891="",C891="Done",C891="Cancelled"),"",IF(AND(E891&lt;&gt;"",E891&lt;TODAY()),"OVERDUE",IF(AND(E891&lt;&gt;"",E891=TODAY()),"DUE TODAY",IF(AND(K891&lt;&gt;"",K891&lt;=TODAY()),"FOLLOW UP",IF(AND(E891&lt;&gt;"",E891&lt;=TODAY()+3),"DUE SOON",IF(E891="","NO DUE DATE",""))))))</f>
        <v/>
      </c>
      <c r="H891" s="45"/>
      <c r="I891" s="46"/>
      <c r="J891" s="45"/>
      <c r="K891" s="47"/>
      <c r="L891" s="47"/>
      <c r="M891" s="47"/>
      <c r="N891" s="45"/>
    </row>
    <row r="892" customFormat="false" ht="18" hidden="false" customHeight="true" outlineLevel="0" collapsed="false">
      <c r="A892" s="44" t="str">
        <f aca="false">IF(B892="","",ROW()-4)</f>
        <v/>
      </c>
      <c r="B892" s="45"/>
      <c r="C892" s="46"/>
      <c r="D892" s="46"/>
      <c r="E892" s="47"/>
      <c r="F892" s="44" t="str">
        <f aca="true">IF(OR(B892="",E892="",C892="Done",C892="Cancelled"),"",E892-TODAY())</f>
        <v/>
      </c>
      <c r="G892" s="48" t="str">
        <f aca="true">IF(OR(B892="",C892="Done",C892="Cancelled"),"",IF(AND(E892&lt;&gt;"",E892&lt;TODAY()),"OVERDUE",IF(AND(E892&lt;&gt;"",E892=TODAY()),"DUE TODAY",IF(AND(K892&lt;&gt;"",K892&lt;=TODAY()),"FOLLOW UP",IF(AND(E892&lt;&gt;"",E892&lt;=TODAY()+3),"DUE SOON",IF(E892="","NO DUE DATE",""))))))</f>
        <v/>
      </c>
      <c r="H892" s="45"/>
      <c r="I892" s="46"/>
      <c r="J892" s="45"/>
      <c r="K892" s="47"/>
      <c r="L892" s="47"/>
      <c r="M892" s="47"/>
      <c r="N892" s="45"/>
    </row>
    <row r="893" customFormat="false" ht="18" hidden="false" customHeight="true" outlineLevel="0" collapsed="false">
      <c r="A893" s="44" t="str">
        <f aca="false">IF(B893="","",ROW()-4)</f>
        <v/>
      </c>
      <c r="B893" s="45"/>
      <c r="C893" s="46"/>
      <c r="D893" s="46"/>
      <c r="E893" s="47"/>
      <c r="F893" s="44" t="str">
        <f aca="true">IF(OR(B893="",E893="",C893="Done",C893="Cancelled"),"",E893-TODAY())</f>
        <v/>
      </c>
      <c r="G893" s="48" t="str">
        <f aca="true">IF(OR(B893="",C893="Done",C893="Cancelled"),"",IF(AND(E893&lt;&gt;"",E893&lt;TODAY()),"OVERDUE",IF(AND(E893&lt;&gt;"",E893=TODAY()),"DUE TODAY",IF(AND(K893&lt;&gt;"",K893&lt;=TODAY()),"FOLLOW UP",IF(AND(E893&lt;&gt;"",E893&lt;=TODAY()+3),"DUE SOON",IF(E893="","NO DUE DATE",""))))))</f>
        <v/>
      </c>
      <c r="H893" s="45"/>
      <c r="I893" s="46"/>
      <c r="J893" s="45"/>
      <c r="K893" s="47"/>
      <c r="L893" s="47"/>
      <c r="M893" s="47"/>
      <c r="N893" s="45"/>
    </row>
    <row r="894" customFormat="false" ht="18" hidden="false" customHeight="true" outlineLevel="0" collapsed="false">
      <c r="A894" s="44" t="str">
        <f aca="false">IF(B894="","",ROW()-4)</f>
        <v/>
      </c>
      <c r="B894" s="45"/>
      <c r="C894" s="46"/>
      <c r="D894" s="46"/>
      <c r="E894" s="47"/>
      <c r="F894" s="44" t="str">
        <f aca="true">IF(OR(B894="",E894="",C894="Done",C894="Cancelled"),"",E894-TODAY())</f>
        <v/>
      </c>
      <c r="G894" s="48" t="str">
        <f aca="true">IF(OR(B894="",C894="Done",C894="Cancelled"),"",IF(AND(E894&lt;&gt;"",E894&lt;TODAY()),"OVERDUE",IF(AND(E894&lt;&gt;"",E894=TODAY()),"DUE TODAY",IF(AND(K894&lt;&gt;"",K894&lt;=TODAY()),"FOLLOW UP",IF(AND(E894&lt;&gt;"",E894&lt;=TODAY()+3),"DUE SOON",IF(E894="","NO DUE DATE",""))))))</f>
        <v/>
      </c>
      <c r="H894" s="45"/>
      <c r="I894" s="46"/>
      <c r="J894" s="45"/>
      <c r="K894" s="47"/>
      <c r="L894" s="47"/>
      <c r="M894" s="47"/>
      <c r="N894" s="45"/>
    </row>
    <row r="895" customFormat="false" ht="18" hidden="false" customHeight="true" outlineLevel="0" collapsed="false">
      <c r="A895" s="44" t="str">
        <f aca="false">IF(B895="","",ROW()-4)</f>
        <v/>
      </c>
      <c r="B895" s="45"/>
      <c r="C895" s="46"/>
      <c r="D895" s="46"/>
      <c r="E895" s="47"/>
      <c r="F895" s="44" t="str">
        <f aca="true">IF(OR(B895="",E895="",C895="Done",C895="Cancelled"),"",E895-TODAY())</f>
        <v/>
      </c>
      <c r="G895" s="48" t="str">
        <f aca="true">IF(OR(B895="",C895="Done",C895="Cancelled"),"",IF(AND(E895&lt;&gt;"",E895&lt;TODAY()),"OVERDUE",IF(AND(E895&lt;&gt;"",E895=TODAY()),"DUE TODAY",IF(AND(K895&lt;&gt;"",K895&lt;=TODAY()),"FOLLOW UP",IF(AND(E895&lt;&gt;"",E895&lt;=TODAY()+3),"DUE SOON",IF(E895="","NO DUE DATE",""))))))</f>
        <v/>
      </c>
      <c r="H895" s="45"/>
      <c r="I895" s="46"/>
      <c r="J895" s="45"/>
      <c r="K895" s="47"/>
      <c r="L895" s="47"/>
      <c r="M895" s="47"/>
      <c r="N895" s="45"/>
    </row>
    <row r="896" customFormat="false" ht="18" hidden="false" customHeight="true" outlineLevel="0" collapsed="false">
      <c r="A896" s="44" t="str">
        <f aca="false">IF(B896="","",ROW()-4)</f>
        <v/>
      </c>
      <c r="B896" s="45"/>
      <c r="C896" s="46"/>
      <c r="D896" s="46"/>
      <c r="E896" s="47"/>
      <c r="F896" s="44" t="str">
        <f aca="true">IF(OR(B896="",E896="",C896="Done",C896="Cancelled"),"",E896-TODAY())</f>
        <v/>
      </c>
      <c r="G896" s="48" t="str">
        <f aca="true">IF(OR(B896="",C896="Done",C896="Cancelled"),"",IF(AND(E896&lt;&gt;"",E896&lt;TODAY()),"OVERDUE",IF(AND(E896&lt;&gt;"",E896=TODAY()),"DUE TODAY",IF(AND(K896&lt;&gt;"",K896&lt;=TODAY()),"FOLLOW UP",IF(AND(E896&lt;&gt;"",E896&lt;=TODAY()+3),"DUE SOON",IF(E896="","NO DUE DATE",""))))))</f>
        <v/>
      </c>
      <c r="H896" s="45"/>
      <c r="I896" s="46"/>
      <c r="J896" s="45"/>
      <c r="K896" s="47"/>
      <c r="L896" s="47"/>
      <c r="M896" s="47"/>
      <c r="N896" s="45"/>
    </row>
    <row r="897" customFormat="false" ht="18" hidden="false" customHeight="true" outlineLevel="0" collapsed="false">
      <c r="A897" s="44" t="str">
        <f aca="false">IF(B897="","",ROW()-4)</f>
        <v/>
      </c>
      <c r="B897" s="45"/>
      <c r="C897" s="46"/>
      <c r="D897" s="46"/>
      <c r="E897" s="47"/>
      <c r="F897" s="44" t="str">
        <f aca="true">IF(OR(B897="",E897="",C897="Done",C897="Cancelled"),"",E897-TODAY())</f>
        <v/>
      </c>
      <c r="G897" s="48" t="str">
        <f aca="true">IF(OR(B897="",C897="Done",C897="Cancelled"),"",IF(AND(E897&lt;&gt;"",E897&lt;TODAY()),"OVERDUE",IF(AND(E897&lt;&gt;"",E897=TODAY()),"DUE TODAY",IF(AND(K897&lt;&gt;"",K897&lt;=TODAY()),"FOLLOW UP",IF(AND(E897&lt;&gt;"",E897&lt;=TODAY()+3),"DUE SOON",IF(E897="","NO DUE DATE",""))))))</f>
        <v/>
      </c>
      <c r="H897" s="45"/>
      <c r="I897" s="46"/>
      <c r="J897" s="45"/>
      <c r="K897" s="47"/>
      <c r="L897" s="47"/>
      <c r="M897" s="47"/>
      <c r="N897" s="45"/>
    </row>
    <row r="898" customFormat="false" ht="18" hidden="false" customHeight="true" outlineLevel="0" collapsed="false">
      <c r="A898" s="44" t="str">
        <f aca="false">IF(B898="","",ROW()-4)</f>
        <v/>
      </c>
      <c r="B898" s="45"/>
      <c r="C898" s="46"/>
      <c r="D898" s="46"/>
      <c r="E898" s="47"/>
      <c r="F898" s="44" t="str">
        <f aca="true">IF(OR(B898="",E898="",C898="Done",C898="Cancelled"),"",E898-TODAY())</f>
        <v/>
      </c>
      <c r="G898" s="48" t="str">
        <f aca="true">IF(OR(B898="",C898="Done",C898="Cancelled"),"",IF(AND(E898&lt;&gt;"",E898&lt;TODAY()),"OVERDUE",IF(AND(E898&lt;&gt;"",E898=TODAY()),"DUE TODAY",IF(AND(K898&lt;&gt;"",K898&lt;=TODAY()),"FOLLOW UP",IF(AND(E898&lt;&gt;"",E898&lt;=TODAY()+3),"DUE SOON",IF(E898="","NO DUE DATE",""))))))</f>
        <v/>
      </c>
      <c r="H898" s="45"/>
      <c r="I898" s="46"/>
      <c r="J898" s="45"/>
      <c r="K898" s="47"/>
      <c r="L898" s="47"/>
      <c r="M898" s="47"/>
      <c r="N898" s="45"/>
    </row>
    <row r="899" customFormat="false" ht="18" hidden="false" customHeight="true" outlineLevel="0" collapsed="false">
      <c r="A899" s="44" t="str">
        <f aca="false">IF(B899="","",ROW()-4)</f>
        <v/>
      </c>
      <c r="B899" s="45"/>
      <c r="C899" s="46"/>
      <c r="D899" s="46"/>
      <c r="E899" s="47"/>
      <c r="F899" s="44" t="str">
        <f aca="true">IF(OR(B899="",E899="",C899="Done",C899="Cancelled"),"",E899-TODAY())</f>
        <v/>
      </c>
      <c r="G899" s="48" t="str">
        <f aca="true">IF(OR(B899="",C899="Done",C899="Cancelled"),"",IF(AND(E899&lt;&gt;"",E899&lt;TODAY()),"OVERDUE",IF(AND(E899&lt;&gt;"",E899=TODAY()),"DUE TODAY",IF(AND(K899&lt;&gt;"",K899&lt;=TODAY()),"FOLLOW UP",IF(AND(E899&lt;&gt;"",E899&lt;=TODAY()+3),"DUE SOON",IF(E899="","NO DUE DATE",""))))))</f>
        <v/>
      </c>
      <c r="H899" s="45"/>
      <c r="I899" s="46"/>
      <c r="J899" s="45"/>
      <c r="K899" s="47"/>
      <c r="L899" s="47"/>
      <c r="M899" s="47"/>
      <c r="N899" s="45"/>
    </row>
    <row r="900" customFormat="false" ht="18" hidden="false" customHeight="true" outlineLevel="0" collapsed="false">
      <c r="A900" s="44" t="str">
        <f aca="false">IF(B900="","",ROW()-4)</f>
        <v/>
      </c>
      <c r="B900" s="45"/>
      <c r="C900" s="46"/>
      <c r="D900" s="46"/>
      <c r="E900" s="47"/>
      <c r="F900" s="44" t="str">
        <f aca="true">IF(OR(B900="",E900="",C900="Done",C900="Cancelled"),"",E900-TODAY())</f>
        <v/>
      </c>
      <c r="G900" s="48" t="str">
        <f aca="true">IF(OR(B900="",C900="Done",C900="Cancelled"),"",IF(AND(E900&lt;&gt;"",E900&lt;TODAY()),"OVERDUE",IF(AND(E900&lt;&gt;"",E900=TODAY()),"DUE TODAY",IF(AND(K900&lt;&gt;"",K900&lt;=TODAY()),"FOLLOW UP",IF(AND(E900&lt;&gt;"",E900&lt;=TODAY()+3),"DUE SOON",IF(E900="","NO DUE DATE",""))))))</f>
        <v/>
      </c>
      <c r="H900" s="45"/>
      <c r="I900" s="46"/>
      <c r="J900" s="45"/>
      <c r="K900" s="47"/>
      <c r="L900" s="47"/>
      <c r="M900" s="47"/>
      <c r="N900" s="45"/>
    </row>
    <row r="901" customFormat="false" ht="18" hidden="false" customHeight="true" outlineLevel="0" collapsed="false">
      <c r="A901" s="44" t="str">
        <f aca="false">IF(B901="","",ROW()-4)</f>
        <v/>
      </c>
      <c r="B901" s="45"/>
      <c r="C901" s="46"/>
      <c r="D901" s="46"/>
      <c r="E901" s="47"/>
      <c r="F901" s="44" t="str">
        <f aca="true">IF(OR(B901="",E901="",C901="Done",C901="Cancelled"),"",E901-TODAY())</f>
        <v/>
      </c>
      <c r="G901" s="48" t="str">
        <f aca="true">IF(OR(B901="",C901="Done",C901="Cancelled"),"",IF(AND(E901&lt;&gt;"",E901&lt;TODAY()),"OVERDUE",IF(AND(E901&lt;&gt;"",E901=TODAY()),"DUE TODAY",IF(AND(K901&lt;&gt;"",K901&lt;=TODAY()),"FOLLOW UP",IF(AND(E901&lt;&gt;"",E901&lt;=TODAY()+3),"DUE SOON",IF(E901="","NO DUE DATE",""))))))</f>
        <v/>
      </c>
      <c r="H901" s="45"/>
      <c r="I901" s="46"/>
      <c r="J901" s="45"/>
      <c r="K901" s="47"/>
      <c r="L901" s="47"/>
      <c r="M901" s="47"/>
      <c r="N901" s="45"/>
    </row>
    <row r="902" customFormat="false" ht="18" hidden="false" customHeight="true" outlineLevel="0" collapsed="false">
      <c r="A902" s="44" t="str">
        <f aca="false">IF(B902="","",ROW()-4)</f>
        <v/>
      </c>
      <c r="B902" s="45"/>
      <c r="C902" s="46"/>
      <c r="D902" s="46"/>
      <c r="E902" s="47"/>
      <c r="F902" s="44" t="str">
        <f aca="true">IF(OR(B902="",E902="",C902="Done",C902="Cancelled"),"",E902-TODAY())</f>
        <v/>
      </c>
      <c r="G902" s="48" t="str">
        <f aca="true">IF(OR(B902="",C902="Done",C902="Cancelled"),"",IF(AND(E902&lt;&gt;"",E902&lt;TODAY()),"OVERDUE",IF(AND(E902&lt;&gt;"",E902=TODAY()),"DUE TODAY",IF(AND(K902&lt;&gt;"",K902&lt;=TODAY()),"FOLLOW UP",IF(AND(E902&lt;&gt;"",E902&lt;=TODAY()+3),"DUE SOON",IF(E902="","NO DUE DATE",""))))))</f>
        <v/>
      </c>
      <c r="H902" s="45"/>
      <c r="I902" s="46"/>
      <c r="J902" s="45"/>
      <c r="K902" s="47"/>
      <c r="L902" s="47"/>
      <c r="M902" s="47"/>
      <c r="N902" s="45"/>
    </row>
    <row r="903" customFormat="false" ht="18" hidden="false" customHeight="true" outlineLevel="0" collapsed="false">
      <c r="A903" s="44" t="str">
        <f aca="false">IF(B903="","",ROW()-4)</f>
        <v/>
      </c>
      <c r="B903" s="45"/>
      <c r="C903" s="46"/>
      <c r="D903" s="46"/>
      <c r="E903" s="47"/>
      <c r="F903" s="44" t="str">
        <f aca="true">IF(OR(B903="",E903="",C903="Done",C903="Cancelled"),"",E903-TODAY())</f>
        <v/>
      </c>
      <c r="G903" s="48" t="str">
        <f aca="true">IF(OR(B903="",C903="Done",C903="Cancelled"),"",IF(AND(E903&lt;&gt;"",E903&lt;TODAY()),"OVERDUE",IF(AND(E903&lt;&gt;"",E903=TODAY()),"DUE TODAY",IF(AND(K903&lt;&gt;"",K903&lt;=TODAY()),"FOLLOW UP",IF(AND(E903&lt;&gt;"",E903&lt;=TODAY()+3),"DUE SOON",IF(E903="","NO DUE DATE",""))))))</f>
        <v/>
      </c>
      <c r="H903" s="45"/>
      <c r="I903" s="46"/>
      <c r="J903" s="45"/>
      <c r="K903" s="47"/>
      <c r="L903" s="47"/>
      <c r="M903" s="47"/>
      <c r="N903" s="45"/>
    </row>
    <row r="904" customFormat="false" ht="18" hidden="false" customHeight="true" outlineLevel="0" collapsed="false">
      <c r="A904" s="44" t="str">
        <f aca="false">IF(B904="","",ROW()-4)</f>
        <v/>
      </c>
      <c r="B904" s="45"/>
      <c r="C904" s="46"/>
      <c r="D904" s="46"/>
      <c r="E904" s="47"/>
      <c r="F904" s="44" t="str">
        <f aca="true">IF(OR(B904="",E904="",C904="Done",C904="Cancelled"),"",E904-TODAY())</f>
        <v/>
      </c>
      <c r="G904" s="48" t="str">
        <f aca="true">IF(OR(B904="",C904="Done",C904="Cancelled"),"",IF(AND(E904&lt;&gt;"",E904&lt;TODAY()),"OVERDUE",IF(AND(E904&lt;&gt;"",E904=TODAY()),"DUE TODAY",IF(AND(K904&lt;&gt;"",K904&lt;=TODAY()),"FOLLOW UP",IF(AND(E904&lt;&gt;"",E904&lt;=TODAY()+3),"DUE SOON",IF(E904="","NO DUE DATE",""))))))</f>
        <v/>
      </c>
      <c r="H904" s="45"/>
      <c r="I904" s="46"/>
      <c r="J904" s="45"/>
      <c r="K904" s="47"/>
      <c r="L904" s="47"/>
      <c r="M904" s="47"/>
      <c r="N904" s="45"/>
    </row>
    <row r="905" customFormat="false" ht="18" hidden="false" customHeight="true" outlineLevel="0" collapsed="false">
      <c r="A905" s="44" t="str">
        <f aca="false">IF(B905="","",ROW()-4)</f>
        <v/>
      </c>
      <c r="B905" s="45"/>
      <c r="C905" s="46"/>
      <c r="D905" s="46"/>
      <c r="E905" s="47"/>
      <c r="F905" s="44" t="str">
        <f aca="true">IF(OR(B905="",E905="",C905="Done",C905="Cancelled"),"",E905-TODAY())</f>
        <v/>
      </c>
      <c r="G905" s="48" t="str">
        <f aca="true">IF(OR(B905="",C905="Done",C905="Cancelled"),"",IF(AND(E905&lt;&gt;"",E905&lt;TODAY()),"OVERDUE",IF(AND(E905&lt;&gt;"",E905=TODAY()),"DUE TODAY",IF(AND(K905&lt;&gt;"",K905&lt;=TODAY()),"FOLLOW UP",IF(AND(E905&lt;&gt;"",E905&lt;=TODAY()+3),"DUE SOON",IF(E905="","NO DUE DATE",""))))))</f>
        <v/>
      </c>
      <c r="H905" s="45"/>
      <c r="I905" s="46"/>
      <c r="J905" s="45"/>
      <c r="K905" s="47"/>
      <c r="L905" s="47"/>
      <c r="M905" s="47"/>
      <c r="N905" s="45"/>
    </row>
    <row r="906" customFormat="false" ht="18" hidden="false" customHeight="true" outlineLevel="0" collapsed="false">
      <c r="A906" s="44" t="str">
        <f aca="false">IF(B906="","",ROW()-4)</f>
        <v/>
      </c>
      <c r="B906" s="45"/>
      <c r="C906" s="46"/>
      <c r="D906" s="46"/>
      <c r="E906" s="47"/>
      <c r="F906" s="44" t="str">
        <f aca="true">IF(OR(B906="",E906="",C906="Done",C906="Cancelled"),"",E906-TODAY())</f>
        <v/>
      </c>
      <c r="G906" s="48" t="str">
        <f aca="true">IF(OR(B906="",C906="Done",C906="Cancelled"),"",IF(AND(E906&lt;&gt;"",E906&lt;TODAY()),"OVERDUE",IF(AND(E906&lt;&gt;"",E906=TODAY()),"DUE TODAY",IF(AND(K906&lt;&gt;"",K906&lt;=TODAY()),"FOLLOW UP",IF(AND(E906&lt;&gt;"",E906&lt;=TODAY()+3),"DUE SOON",IF(E906="","NO DUE DATE",""))))))</f>
        <v/>
      </c>
      <c r="H906" s="45"/>
      <c r="I906" s="46"/>
      <c r="J906" s="45"/>
      <c r="K906" s="47"/>
      <c r="L906" s="47"/>
      <c r="M906" s="47"/>
      <c r="N906" s="45"/>
    </row>
    <row r="907" customFormat="false" ht="18" hidden="false" customHeight="true" outlineLevel="0" collapsed="false">
      <c r="A907" s="44" t="str">
        <f aca="false">IF(B907="","",ROW()-4)</f>
        <v/>
      </c>
      <c r="B907" s="45"/>
      <c r="C907" s="46"/>
      <c r="D907" s="46"/>
      <c r="E907" s="47"/>
      <c r="F907" s="44" t="str">
        <f aca="true">IF(OR(B907="",E907="",C907="Done",C907="Cancelled"),"",E907-TODAY())</f>
        <v/>
      </c>
      <c r="G907" s="48" t="str">
        <f aca="true">IF(OR(B907="",C907="Done",C907="Cancelled"),"",IF(AND(E907&lt;&gt;"",E907&lt;TODAY()),"OVERDUE",IF(AND(E907&lt;&gt;"",E907=TODAY()),"DUE TODAY",IF(AND(K907&lt;&gt;"",K907&lt;=TODAY()),"FOLLOW UP",IF(AND(E907&lt;&gt;"",E907&lt;=TODAY()+3),"DUE SOON",IF(E907="","NO DUE DATE",""))))))</f>
        <v/>
      </c>
      <c r="H907" s="45"/>
      <c r="I907" s="46"/>
      <c r="J907" s="45"/>
      <c r="K907" s="47"/>
      <c r="L907" s="47"/>
      <c r="M907" s="47"/>
      <c r="N907" s="45"/>
    </row>
    <row r="908" customFormat="false" ht="18" hidden="false" customHeight="true" outlineLevel="0" collapsed="false">
      <c r="A908" s="44" t="str">
        <f aca="false">IF(B908="","",ROW()-4)</f>
        <v/>
      </c>
      <c r="B908" s="45"/>
      <c r="C908" s="46"/>
      <c r="D908" s="46"/>
      <c r="E908" s="47"/>
      <c r="F908" s="44" t="str">
        <f aca="true">IF(OR(B908="",E908="",C908="Done",C908="Cancelled"),"",E908-TODAY())</f>
        <v/>
      </c>
      <c r="G908" s="48" t="str">
        <f aca="true">IF(OR(B908="",C908="Done",C908="Cancelled"),"",IF(AND(E908&lt;&gt;"",E908&lt;TODAY()),"OVERDUE",IF(AND(E908&lt;&gt;"",E908=TODAY()),"DUE TODAY",IF(AND(K908&lt;&gt;"",K908&lt;=TODAY()),"FOLLOW UP",IF(AND(E908&lt;&gt;"",E908&lt;=TODAY()+3),"DUE SOON",IF(E908="","NO DUE DATE",""))))))</f>
        <v/>
      </c>
      <c r="H908" s="45"/>
      <c r="I908" s="46"/>
      <c r="J908" s="45"/>
      <c r="K908" s="47"/>
      <c r="L908" s="47"/>
      <c r="M908" s="47"/>
      <c r="N908" s="45"/>
    </row>
    <row r="909" customFormat="false" ht="18" hidden="false" customHeight="true" outlineLevel="0" collapsed="false">
      <c r="A909" s="44" t="str">
        <f aca="false">IF(B909="","",ROW()-4)</f>
        <v/>
      </c>
      <c r="B909" s="45"/>
      <c r="C909" s="46"/>
      <c r="D909" s="46"/>
      <c r="E909" s="47"/>
      <c r="F909" s="44" t="str">
        <f aca="true">IF(OR(B909="",E909="",C909="Done",C909="Cancelled"),"",E909-TODAY())</f>
        <v/>
      </c>
      <c r="G909" s="48" t="str">
        <f aca="true">IF(OR(B909="",C909="Done",C909="Cancelled"),"",IF(AND(E909&lt;&gt;"",E909&lt;TODAY()),"OVERDUE",IF(AND(E909&lt;&gt;"",E909=TODAY()),"DUE TODAY",IF(AND(K909&lt;&gt;"",K909&lt;=TODAY()),"FOLLOW UP",IF(AND(E909&lt;&gt;"",E909&lt;=TODAY()+3),"DUE SOON",IF(E909="","NO DUE DATE",""))))))</f>
        <v/>
      </c>
      <c r="H909" s="45"/>
      <c r="I909" s="46"/>
      <c r="J909" s="45"/>
      <c r="K909" s="47"/>
      <c r="L909" s="47"/>
      <c r="M909" s="47"/>
      <c r="N909" s="45"/>
    </row>
    <row r="910" customFormat="false" ht="18" hidden="false" customHeight="true" outlineLevel="0" collapsed="false">
      <c r="A910" s="44" t="str">
        <f aca="false">IF(B910="","",ROW()-4)</f>
        <v/>
      </c>
      <c r="B910" s="45"/>
      <c r="C910" s="46"/>
      <c r="D910" s="46"/>
      <c r="E910" s="47"/>
      <c r="F910" s="44" t="str">
        <f aca="true">IF(OR(B910="",E910="",C910="Done",C910="Cancelled"),"",E910-TODAY())</f>
        <v/>
      </c>
      <c r="G910" s="48" t="str">
        <f aca="true">IF(OR(B910="",C910="Done",C910="Cancelled"),"",IF(AND(E910&lt;&gt;"",E910&lt;TODAY()),"OVERDUE",IF(AND(E910&lt;&gt;"",E910=TODAY()),"DUE TODAY",IF(AND(K910&lt;&gt;"",K910&lt;=TODAY()),"FOLLOW UP",IF(AND(E910&lt;&gt;"",E910&lt;=TODAY()+3),"DUE SOON",IF(E910="","NO DUE DATE",""))))))</f>
        <v/>
      </c>
      <c r="H910" s="45"/>
      <c r="I910" s="46"/>
      <c r="J910" s="45"/>
      <c r="K910" s="47"/>
      <c r="L910" s="47"/>
      <c r="M910" s="47"/>
      <c r="N910" s="45"/>
    </row>
    <row r="911" customFormat="false" ht="18" hidden="false" customHeight="true" outlineLevel="0" collapsed="false">
      <c r="A911" s="44" t="str">
        <f aca="false">IF(B911="","",ROW()-4)</f>
        <v/>
      </c>
      <c r="B911" s="45"/>
      <c r="C911" s="46"/>
      <c r="D911" s="46"/>
      <c r="E911" s="47"/>
      <c r="F911" s="44" t="str">
        <f aca="true">IF(OR(B911="",E911="",C911="Done",C911="Cancelled"),"",E911-TODAY())</f>
        <v/>
      </c>
      <c r="G911" s="48" t="str">
        <f aca="true">IF(OR(B911="",C911="Done",C911="Cancelled"),"",IF(AND(E911&lt;&gt;"",E911&lt;TODAY()),"OVERDUE",IF(AND(E911&lt;&gt;"",E911=TODAY()),"DUE TODAY",IF(AND(K911&lt;&gt;"",K911&lt;=TODAY()),"FOLLOW UP",IF(AND(E911&lt;&gt;"",E911&lt;=TODAY()+3),"DUE SOON",IF(E911="","NO DUE DATE",""))))))</f>
        <v/>
      </c>
      <c r="H911" s="45"/>
      <c r="I911" s="46"/>
      <c r="J911" s="45"/>
      <c r="K911" s="47"/>
      <c r="L911" s="47"/>
      <c r="M911" s="47"/>
      <c r="N911" s="45"/>
    </row>
    <row r="912" customFormat="false" ht="18" hidden="false" customHeight="true" outlineLevel="0" collapsed="false">
      <c r="A912" s="44" t="str">
        <f aca="false">IF(B912="","",ROW()-4)</f>
        <v/>
      </c>
      <c r="B912" s="45"/>
      <c r="C912" s="46"/>
      <c r="D912" s="46"/>
      <c r="E912" s="47"/>
      <c r="F912" s="44" t="str">
        <f aca="true">IF(OR(B912="",E912="",C912="Done",C912="Cancelled"),"",E912-TODAY())</f>
        <v/>
      </c>
      <c r="G912" s="48" t="str">
        <f aca="true">IF(OR(B912="",C912="Done",C912="Cancelled"),"",IF(AND(E912&lt;&gt;"",E912&lt;TODAY()),"OVERDUE",IF(AND(E912&lt;&gt;"",E912=TODAY()),"DUE TODAY",IF(AND(K912&lt;&gt;"",K912&lt;=TODAY()),"FOLLOW UP",IF(AND(E912&lt;&gt;"",E912&lt;=TODAY()+3),"DUE SOON",IF(E912="","NO DUE DATE",""))))))</f>
        <v/>
      </c>
      <c r="H912" s="45"/>
      <c r="I912" s="46"/>
      <c r="J912" s="45"/>
      <c r="K912" s="47"/>
      <c r="L912" s="47"/>
      <c r="M912" s="47"/>
      <c r="N912" s="45"/>
    </row>
    <row r="913" customFormat="false" ht="18" hidden="false" customHeight="true" outlineLevel="0" collapsed="false">
      <c r="A913" s="44" t="str">
        <f aca="false">IF(B913="","",ROW()-4)</f>
        <v/>
      </c>
      <c r="B913" s="45"/>
      <c r="C913" s="46"/>
      <c r="D913" s="46"/>
      <c r="E913" s="47"/>
      <c r="F913" s="44" t="str">
        <f aca="true">IF(OR(B913="",E913="",C913="Done",C913="Cancelled"),"",E913-TODAY())</f>
        <v/>
      </c>
      <c r="G913" s="48" t="str">
        <f aca="true">IF(OR(B913="",C913="Done",C913="Cancelled"),"",IF(AND(E913&lt;&gt;"",E913&lt;TODAY()),"OVERDUE",IF(AND(E913&lt;&gt;"",E913=TODAY()),"DUE TODAY",IF(AND(K913&lt;&gt;"",K913&lt;=TODAY()),"FOLLOW UP",IF(AND(E913&lt;&gt;"",E913&lt;=TODAY()+3),"DUE SOON",IF(E913="","NO DUE DATE",""))))))</f>
        <v/>
      </c>
      <c r="H913" s="45"/>
      <c r="I913" s="46"/>
      <c r="J913" s="45"/>
      <c r="K913" s="47"/>
      <c r="L913" s="47"/>
      <c r="M913" s="47"/>
      <c r="N913" s="45"/>
    </row>
    <row r="914" customFormat="false" ht="18" hidden="false" customHeight="true" outlineLevel="0" collapsed="false">
      <c r="A914" s="44" t="str">
        <f aca="false">IF(B914="","",ROW()-4)</f>
        <v/>
      </c>
      <c r="B914" s="45"/>
      <c r="C914" s="46"/>
      <c r="D914" s="46"/>
      <c r="E914" s="47"/>
      <c r="F914" s="44" t="str">
        <f aca="true">IF(OR(B914="",E914="",C914="Done",C914="Cancelled"),"",E914-TODAY())</f>
        <v/>
      </c>
      <c r="G914" s="48" t="str">
        <f aca="true">IF(OR(B914="",C914="Done",C914="Cancelled"),"",IF(AND(E914&lt;&gt;"",E914&lt;TODAY()),"OVERDUE",IF(AND(E914&lt;&gt;"",E914=TODAY()),"DUE TODAY",IF(AND(K914&lt;&gt;"",K914&lt;=TODAY()),"FOLLOW UP",IF(AND(E914&lt;&gt;"",E914&lt;=TODAY()+3),"DUE SOON",IF(E914="","NO DUE DATE",""))))))</f>
        <v/>
      </c>
      <c r="H914" s="45"/>
      <c r="I914" s="46"/>
      <c r="J914" s="45"/>
      <c r="K914" s="47"/>
      <c r="L914" s="47"/>
      <c r="M914" s="47"/>
      <c r="N914" s="45"/>
    </row>
    <row r="915" customFormat="false" ht="18" hidden="false" customHeight="true" outlineLevel="0" collapsed="false">
      <c r="A915" s="44" t="str">
        <f aca="false">IF(B915="","",ROW()-4)</f>
        <v/>
      </c>
      <c r="B915" s="45"/>
      <c r="C915" s="46"/>
      <c r="D915" s="46"/>
      <c r="E915" s="47"/>
      <c r="F915" s="44" t="str">
        <f aca="true">IF(OR(B915="",E915="",C915="Done",C915="Cancelled"),"",E915-TODAY())</f>
        <v/>
      </c>
      <c r="G915" s="48" t="str">
        <f aca="true">IF(OR(B915="",C915="Done",C915="Cancelled"),"",IF(AND(E915&lt;&gt;"",E915&lt;TODAY()),"OVERDUE",IF(AND(E915&lt;&gt;"",E915=TODAY()),"DUE TODAY",IF(AND(K915&lt;&gt;"",K915&lt;=TODAY()),"FOLLOW UP",IF(AND(E915&lt;&gt;"",E915&lt;=TODAY()+3),"DUE SOON",IF(E915="","NO DUE DATE",""))))))</f>
        <v/>
      </c>
      <c r="H915" s="45"/>
      <c r="I915" s="46"/>
      <c r="J915" s="45"/>
      <c r="K915" s="47"/>
      <c r="L915" s="47"/>
      <c r="M915" s="47"/>
      <c r="N915" s="45"/>
    </row>
    <row r="916" customFormat="false" ht="18" hidden="false" customHeight="true" outlineLevel="0" collapsed="false">
      <c r="A916" s="44" t="str">
        <f aca="false">IF(B916="","",ROW()-4)</f>
        <v/>
      </c>
      <c r="B916" s="45"/>
      <c r="C916" s="46"/>
      <c r="D916" s="46"/>
      <c r="E916" s="47"/>
      <c r="F916" s="44" t="str">
        <f aca="true">IF(OR(B916="",E916="",C916="Done",C916="Cancelled"),"",E916-TODAY())</f>
        <v/>
      </c>
      <c r="G916" s="48" t="str">
        <f aca="true">IF(OR(B916="",C916="Done",C916="Cancelled"),"",IF(AND(E916&lt;&gt;"",E916&lt;TODAY()),"OVERDUE",IF(AND(E916&lt;&gt;"",E916=TODAY()),"DUE TODAY",IF(AND(K916&lt;&gt;"",K916&lt;=TODAY()),"FOLLOW UP",IF(AND(E916&lt;&gt;"",E916&lt;=TODAY()+3),"DUE SOON",IF(E916="","NO DUE DATE",""))))))</f>
        <v/>
      </c>
      <c r="H916" s="45"/>
      <c r="I916" s="46"/>
      <c r="J916" s="45"/>
      <c r="K916" s="47"/>
      <c r="L916" s="47"/>
      <c r="M916" s="47"/>
      <c r="N916" s="45"/>
    </row>
    <row r="917" customFormat="false" ht="18" hidden="false" customHeight="true" outlineLevel="0" collapsed="false">
      <c r="A917" s="44" t="str">
        <f aca="false">IF(B917="","",ROW()-4)</f>
        <v/>
      </c>
      <c r="B917" s="45"/>
      <c r="C917" s="46"/>
      <c r="D917" s="46"/>
      <c r="E917" s="47"/>
      <c r="F917" s="44" t="str">
        <f aca="true">IF(OR(B917="",E917="",C917="Done",C917="Cancelled"),"",E917-TODAY())</f>
        <v/>
      </c>
      <c r="G917" s="48" t="str">
        <f aca="true">IF(OR(B917="",C917="Done",C917="Cancelled"),"",IF(AND(E917&lt;&gt;"",E917&lt;TODAY()),"OVERDUE",IF(AND(E917&lt;&gt;"",E917=TODAY()),"DUE TODAY",IF(AND(K917&lt;&gt;"",K917&lt;=TODAY()),"FOLLOW UP",IF(AND(E917&lt;&gt;"",E917&lt;=TODAY()+3),"DUE SOON",IF(E917="","NO DUE DATE",""))))))</f>
        <v/>
      </c>
      <c r="H917" s="45"/>
      <c r="I917" s="46"/>
      <c r="J917" s="45"/>
      <c r="K917" s="47"/>
      <c r="L917" s="47"/>
      <c r="M917" s="47"/>
      <c r="N917" s="45"/>
    </row>
    <row r="918" customFormat="false" ht="18" hidden="false" customHeight="true" outlineLevel="0" collapsed="false">
      <c r="A918" s="44" t="str">
        <f aca="false">IF(B918="","",ROW()-4)</f>
        <v/>
      </c>
      <c r="B918" s="45"/>
      <c r="C918" s="46"/>
      <c r="D918" s="46"/>
      <c r="E918" s="47"/>
      <c r="F918" s="44" t="str">
        <f aca="true">IF(OR(B918="",E918="",C918="Done",C918="Cancelled"),"",E918-TODAY())</f>
        <v/>
      </c>
      <c r="G918" s="48" t="str">
        <f aca="true">IF(OR(B918="",C918="Done",C918="Cancelled"),"",IF(AND(E918&lt;&gt;"",E918&lt;TODAY()),"OVERDUE",IF(AND(E918&lt;&gt;"",E918=TODAY()),"DUE TODAY",IF(AND(K918&lt;&gt;"",K918&lt;=TODAY()),"FOLLOW UP",IF(AND(E918&lt;&gt;"",E918&lt;=TODAY()+3),"DUE SOON",IF(E918="","NO DUE DATE",""))))))</f>
        <v/>
      </c>
      <c r="H918" s="45"/>
      <c r="I918" s="46"/>
      <c r="J918" s="45"/>
      <c r="K918" s="47"/>
      <c r="L918" s="47"/>
      <c r="M918" s="47"/>
      <c r="N918" s="45"/>
    </row>
    <row r="919" customFormat="false" ht="18" hidden="false" customHeight="true" outlineLevel="0" collapsed="false">
      <c r="A919" s="44" t="str">
        <f aca="false">IF(B919="","",ROW()-4)</f>
        <v/>
      </c>
      <c r="B919" s="45"/>
      <c r="C919" s="46"/>
      <c r="D919" s="46"/>
      <c r="E919" s="47"/>
      <c r="F919" s="44" t="str">
        <f aca="true">IF(OR(B919="",E919="",C919="Done",C919="Cancelled"),"",E919-TODAY())</f>
        <v/>
      </c>
      <c r="G919" s="48" t="str">
        <f aca="true">IF(OR(B919="",C919="Done",C919="Cancelled"),"",IF(AND(E919&lt;&gt;"",E919&lt;TODAY()),"OVERDUE",IF(AND(E919&lt;&gt;"",E919=TODAY()),"DUE TODAY",IF(AND(K919&lt;&gt;"",K919&lt;=TODAY()),"FOLLOW UP",IF(AND(E919&lt;&gt;"",E919&lt;=TODAY()+3),"DUE SOON",IF(E919="","NO DUE DATE",""))))))</f>
        <v/>
      </c>
      <c r="H919" s="45"/>
      <c r="I919" s="46"/>
      <c r="J919" s="45"/>
      <c r="K919" s="47"/>
      <c r="L919" s="47"/>
      <c r="M919" s="47"/>
      <c r="N919" s="45"/>
    </row>
    <row r="920" customFormat="false" ht="18" hidden="false" customHeight="true" outlineLevel="0" collapsed="false">
      <c r="A920" s="44" t="str">
        <f aca="false">IF(B920="","",ROW()-4)</f>
        <v/>
      </c>
      <c r="B920" s="45"/>
      <c r="C920" s="46"/>
      <c r="D920" s="46"/>
      <c r="E920" s="47"/>
      <c r="F920" s="44" t="str">
        <f aca="true">IF(OR(B920="",E920="",C920="Done",C920="Cancelled"),"",E920-TODAY())</f>
        <v/>
      </c>
      <c r="G920" s="48" t="str">
        <f aca="true">IF(OR(B920="",C920="Done",C920="Cancelled"),"",IF(AND(E920&lt;&gt;"",E920&lt;TODAY()),"OVERDUE",IF(AND(E920&lt;&gt;"",E920=TODAY()),"DUE TODAY",IF(AND(K920&lt;&gt;"",K920&lt;=TODAY()),"FOLLOW UP",IF(AND(E920&lt;&gt;"",E920&lt;=TODAY()+3),"DUE SOON",IF(E920="","NO DUE DATE",""))))))</f>
        <v/>
      </c>
      <c r="H920" s="45"/>
      <c r="I920" s="46"/>
      <c r="J920" s="45"/>
      <c r="K920" s="47"/>
      <c r="L920" s="47"/>
      <c r="M920" s="47"/>
      <c r="N920" s="45"/>
    </row>
    <row r="921" customFormat="false" ht="18" hidden="false" customHeight="true" outlineLevel="0" collapsed="false">
      <c r="A921" s="44" t="str">
        <f aca="false">IF(B921="","",ROW()-4)</f>
        <v/>
      </c>
      <c r="B921" s="45"/>
      <c r="C921" s="46"/>
      <c r="D921" s="46"/>
      <c r="E921" s="47"/>
      <c r="F921" s="44" t="str">
        <f aca="true">IF(OR(B921="",E921="",C921="Done",C921="Cancelled"),"",E921-TODAY())</f>
        <v/>
      </c>
      <c r="G921" s="48" t="str">
        <f aca="true">IF(OR(B921="",C921="Done",C921="Cancelled"),"",IF(AND(E921&lt;&gt;"",E921&lt;TODAY()),"OVERDUE",IF(AND(E921&lt;&gt;"",E921=TODAY()),"DUE TODAY",IF(AND(K921&lt;&gt;"",K921&lt;=TODAY()),"FOLLOW UP",IF(AND(E921&lt;&gt;"",E921&lt;=TODAY()+3),"DUE SOON",IF(E921="","NO DUE DATE",""))))))</f>
        <v/>
      </c>
      <c r="H921" s="45"/>
      <c r="I921" s="46"/>
      <c r="J921" s="45"/>
      <c r="K921" s="47"/>
      <c r="L921" s="47"/>
      <c r="M921" s="47"/>
      <c r="N921" s="45"/>
    </row>
    <row r="922" customFormat="false" ht="18" hidden="false" customHeight="true" outlineLevel="0" collapsed="false">
      <c r="A922" s="44" t="str">
        <f aca="false">IF(B922="","",ROW()-4)</f>
        <v/>
      </c>
      <c r="B922" s="45"/>
      <c r="C922" s="46"/>
      <c r="D922" s="46"/>
      <c r="E922" s="47"/>
      <c r="F922" s="44" t="str">
        <f aca="true">IF(OR(B922="",E922="",C922="Done",C922="Cancelled"),"",E922-TODAY())</f>
        <v/>
      </c>
      <c r="G922" s="48" t="str">
        <f aca="true">IF(OR(B922="",C922="Done",C922="Cancelled"),"",IF(AND(E922&lt;&gt;"",E922&lt;TODAY()),"OVERDUE",IF(AND(E922&lt;&gt;"",E922=TODAY()),"DUE TODAY",IF(AND(K922&lt;&gt;"",K922&lt;=TODAY()),"FOLLOW UP",IF(AND(E922&lt;&gt;"",E922&lt;=TODAY()+3),"DUE SOON",IF(E922="","NO DUE DATE",""))))))</f>
        <v/>
      </c>
      <c r="H922" s="45"/>
      <c r="I922" s="46"/>
      <c r="J922" s="45"/>
      <c r="K922" s="47"/>
      <c r="L922" s="47"/>
      <c r="M922" s="47"/>
      <c r="N922" s="45"/>
    </row>
    <row r="923" customFormat="false" ht="18" hidden="false" customHeight="true" outlineLevel="0" collapsed="false">
      <c r="A923" s="44" t="str">
        <f aca="false">IF(B923="","",ROW()-4)</f>
        <v/>
      </c>
      <c r="B923" s="45"/>
      <c r="C923" s="46"/>
      <c r="D923" s="46"/>
      <c r="E923" s="47"/>
      <c r="F923" s="44" t="str">
        <f aca="true">IF(OR(B923="",E923="",C923="Done",C923="Cancelled"),"",E923-TODAY())</f>
        <v/>
      </c>
      <c r="G923" s="48" t="str">
        <f aca="true">IF(OR(B923="",C923="Done",C923="Cancelled"),"",IF(AND(E923&lt;&gt;"",E923&lt;TODAY()),"OVERDUE",IF(AND(E923&lt;&gt;"",E923=TODAY()),"DUE TODAY",IF(AND(K923&lt;&gt;"",K923&lt;=TODAY()),"FOLLOW UP",IF(AND(E923&lt;&gt;"",E923&lt;=TODAY()+3),"DUE SOON",IF(E923="","NO DUE DATE",""))))))</f>
        <v/>
      </c>
      <c r="H923" s="45"/>
      <c r="I923" s="46"/>
      <c r="J923" s="45"/>
      <c r="K923" s="47"/>
      <c r="L923" s="47"/>
      <c r="M923" s="47"/>
      <c r="N923" s="45"/>
    </row>
    <row r="924" customFormat="false" ht="18" hidden="false" customHeight="true" outlineLevel="0" collapsed="false">
      <c r="A924" s="44" t="str">
        <f aca="false">IF(B924="","",ROW()-4)</f>
        <v/>
      </c>
      <c r="B924" s="45"/>
      <c r="C924" s="46"/>
      <c r="D924" s="46"/>
      <c r="E924" s="47"/>
      <c r="F924" s="44" t="str">
        <f aca="true">IF(OR(B924="",E924="",C924="Done",C924="Cancelled"),"",E924-TODAY())</f>
        <v/>
      </c>
      <c r="G924" s="48" t="str">
        <f aca="true">IF(OR(B924="",C924="Done",C924="Cancelled"),"",IF(AND(E924&lt;&gt;"",E924&lt;TODAY()),"OVERDUE",IF(AND(E924&lt;&gt;"",E924=TODAY()),"DUE TODAY",IF(AND(K924&lt;&gt;"",K924&lt;=TODAY()),"FOLLOW UP",IF(AND(E924&lt;&gt;"",E924&lt;=TODAY()+3),"DUE SOON",IF(E924="","NO DUE DATE",""))))))</f>
        <v/>
      </c>
      <c r="H924" s="45"/>
      <c r="I924" s="46"/>
      <c r="J924" s="45"/>
      <c r="K924" s="47"/>
      <c r="L924" s="47"/>
      <c r="M924" s="47"/>
      <c r="N924" s="45"/>
    </row>
    <row r="925" customFormat="false" ht="18" hidden="false" customHeight="true" outlineLevel="0" collapsed="false">
      <c r="A925" s="44" t="str">
        <f aca="false">IF(B925="","",ROW()-4)</f>
        <v/>
      </c>
      <c r="B925" s="45"/>
      <c r="C925" s="46"/>
      <c r="D925" s="46"/>
      <c r="E925" s="47"/>
      <c r="F925" s="44" t="str">
        <f aca="true">IF(OR(B925="",E925="",C925="Done",C925="Cancelled"),"",E925-TODAY())</f>
        <v/>
      </c>
      <c r="G925" s="48" t="str">
        <f aca="true">IF(OR(B925="",C925="Done",C925="Cancelled"),"",IF(AND(E925&lt;&gt;"",E925&lt;TODAY()),"OVERDUE",IF(AND(E925&lt;&gt;"",E925=TODAY()),"DUE TODAY",IF(AND(K925&lt;&gt;"",K925&lt;=TODAY()),"FOLLOW UP",IF(AND(E925&lt;&gt;"",E925&lt;=TODAY()+3),"DUE SOON",IF(E925="","NO DUE DATE",""))))))</f>
        <v/>
      </c>
      <c r="H925" s="45"/>
      <c r="I925" s="46"/>
      <c r="J925" s="45"/>
      <c r="K925" s="47"/>
      <c r="L925" s="47"/>
      <c r="M925" s="47"/>
      <c r="N925" s="45"/>
    </row>
    <row r="926" customFormat="false" ht="18" hidden="false" customHeight="true" outlineLevel="0" collapsed="false">
      <c r="A926" s="44" t="str">
        <f aca="false">IF(B926="","",ROW()-4)</f>
        <v/>
      </c>
      <c r="B926" s="45"/>
      <c r="C926" s="46"/>
      <c r="D926" s="46"/>
      <c r="E926" s="47"/>
      <c r="F926" s="44" t="str">
        <f aca="true">IF(OR(B926="",E926="",C926="Done",C926="Cancelled"),"",E926-TODAY())</f>
        <v/>
      </c>
      <c r="G926" s="48" t="str">
        <f aca="true">IF(OR(B926="",C926="Done",C926="Cancelled"),"",IF(AND(E926&lt;&gt;"",E926&lt;TODAY()),"OVERDUE",IF(AND(E926&lt;&gt;"",E926=TODAY()),"DUE TODAY",IF(AND(K926&lt;&gt;"",K926&lt;=TODAY()),"FOLLOW UP",IF(AND(E926&lt;&gt;"",E926&lt;=TODAY()+3),"DUE SOON",IF(E926="","NO DUE DATE",""))))))</f>
        <v/>
      </c>
      <c r="H926" s="45"/>
      <c r="I926" s="46"/>
      <c r="J926" s="45"/>
      <c r="K926" s="47"/>
      <c r="L926" s="47"/>
      <c r="M926" s="47"/>
      <c r="N926" s="45"/>
    </row>
    <row r="927" customFormat="false" ht="18" hidden="false" customHeight="true" outlineLevel="0" collapsed="false">
      <c r="A927" s="44" t="str">
        <f aca="false">IF(B927="","",ROW()-4)</f>
        <v/>
      </c>
      <c r="B927" s="45"/>
      <c r="C927" s="46"/>
      <c r="D927" s="46"/>
      <c r="E927" s="47"/>
      <c r="F927" s="44" t="str">
        <f aca="true">IF(OR(B927="",E927="",C927="Done",C927="Cancelled"),"",E927-TODAY())</f>
        <v/>
      </c>
      <c r="G927" s="48" t="str">
        <f aca="true">IF(OR(B927="",C927="Done",C927="Cancelled"),"",IF(AND(E927&lt;&gt;"",E927&lt;TODAY()),"OVERDUE",IF(AND(E927&lt;&gt;"",E927=TODAY()),"DUE TODAY",IF(AND(K927&lt;&gt;"",K927&lt;=TODAY()),"FOLLOW UP",IF(AND(E927&lt;&gt;"",E927&lt;=TODAY()+3),"DUE SOON",IF(E927="","NO DUE DATE",""))))))</f>
        <v/>
      </c>
      <c r="H927" s="45"/>
      <c r="I927" s="46"/>
      <c r="J927" s="45"/>
      <c r="K927" s="47"/>
      <c r="L927" s="47"/>
      <c r="M927" s="47"/>
      <c r="N927" s="45"/>
    </row>
    <row r="928" customFormat="false" ht="18" hidden="false" customHeight="true" outlineLevel="0" collapsed="false">
      <c r="A928" s="44" t="str">
        <f aca="false">IF(B928="","",ROW()-4)</f>
        <v/>
      </c>
      <c r="B928" s="45"/>
      <c r="C928" s="46"/>
      <c r="D928" s="46"/>
      <c r="E928" s="47"/>
      <c r="F928" s="44" t="str">
        <f aca="true">IF(OR(B928="",E928="",C928="Done",C928="Cancelled"),"",E928-TODAY())</f>
        <v/>
      </c>
      <c r="G928" s="48" t="str">
        <f aca="true">IF(OR(B928="",C928="Done",C928="Cancelled"),"",IF(AND(E928&lt;&gt;"",E928&lt;TODAY()),"OVERDUE",IF(AND(E928&lt;&gt;"",E928=TODAY()),"DUE TODAY",IF(AND(K928&lt;&gt;"",K928&lt;=TODAY()),"FOLLOW UP",IF(AND(E928&lt;&gt;"",E928&lt;=TODAY()+3),"DUE SOON",IF(E928="","NO DUE DATE",""))))))</f>
        <v/>
      </c>
      <c r="H928" s="45"/>
      <c r="I928" s="46"/>
      <c r="J928" s="45"/>
      <c r="K928" s="47"/>
      <c r="L928" s="47"/>
      <c r="M928" s="47"/>
      <c r="N928" s="45"/>
    </row>
    <row r="929" customFormat="false" ht="18" hidden="false" customHeight="true" outlineLevel="0" collapsed="false">
      <c r="A929" s="44" t="str">
        <f aca="false">IF(B929="","",ROW()-4)</f>
        <v/>
      </c>
      <c r="B929" s="45"/>
      <c r="C929" s="46"/>
      <c r="D929" s="46"/>
      <c r="E929" s="47"/>
      <c r="F929" s="44" t="str">
        <f aca="true">IF(OR(B929="",E929="",C929="Done",C929="Cancelled"),"",E929-TODAY())</f>
        <v/>
      </c>
      <c r="G929" s="48" t="str">
        <f aca="true">IF(OR(B929="",C929="Done",C929="Cancelled"),"",IF(AND(E929&lt;&gt;"",E929&lt;TODAY()),"OVERDUE",IF(AND(E929&lt;&gt;"",E929=TODAY()),"DUE TODAY",IF(AND(K929&lt;&gt;"",K929&lt;=TODAY()),"FOLLOW UP",IF(AND(E929&lt;&gt;"",E929&lt;=TODAY()+3),"DUE SOON",IF(E929="","NO DUE DATE",""))))))</f>
        <v/>
      </c>
      <c r="H929" s="45"/>
      <c r="I929" s="46"/>
      <c r="J929" s="45"/>
      <c r="K929" s="47"/>
      <c r="L929" s="47"/>
      <c r="M929" s="47"/>
      <c r="N929" s="45"/>
    </row>
    <row r="930" customFormat="false" ht="18" hidden="false" customHeight="true" outlineLevel="0" collapsed="false">
      <c r="A930" s="44" t="str">
        <f aca="false">IF(B930="","",ROW()-4)</f>
        <v/>
      </c>
      <c r="B930" s="45"/>
      <c r="C930" s="46"/>
      <c r="D930" s="46"/>
      <c r="E930" s="47"/>
      <c r="F930" s="44" t="str">
        <f aca="true">IF(OR(B930="",E930="",C930="Done",C930="Cancelled"),"",E930-TODAY())</f>
        <v/>
      </c>
      <c r="G930" s="48" t="str">
        <f aca="true">IF(OR(B930="",C930="Done",C930="Cancelled"),"",IF(AND(E930&lt;&gt;"",E930&lt;TODAY()),"OVERDUE",IF(AND(E930&lt;&gt;"",E930=TODAY()),"DUE TODAY",IF(AND(K930&lt;&gt;"",K930&lt;=TODAY()),"FOLLOW UP",IF(AND(E930&lt;&gt;"",E930&lt;=TODAY()+3),"DUE SOON",IF(E930="","NO DUE DATE",""))))))</f>
        <v/>
      </c>
      <c r="H930" s="45"/>
      <c r="I930" s="46"/>
      <c r="J930" s="45"/>
      <c r="K930" s="47"/>
      <c r="L930" s="47"/>
      <c r="M930" s="47"/>
      <c r="N930" s="45"/>
    </row>
    <row r="931" customFormat="false" ht="18" hidden="false" customHeight="true" outlineLevel="0" collapsed="false">
      <c r="A931" s="44" t="str">
        <f aca="false">IF(B931="","",ROW()-4)</f>
        <v/>
      </c>
      <c r="B931" s="45"/>
      <c r="C931" s="46"/>
      <c r="D931" s="46"/>
      <c r="E931" s="47"/>
      <c r="F931" s="44" t="str">
        <f aca="true">IF(OR(B931="",E931="",C931="Done",C931="Cancelled"),"",E931-TODAY())</f>
        <v/>
      </c>
      <c r="G931" s="48" t="str">
        <f aca="true">IF(OR(B931="",C931="Done",C931="Cancelled"),"",IF(AND(E931&lt;&gt;"",E931&lt;TODAY()),"OVERDUE",IF(AND(E931&lt;&gt;"",E931=TODAY()),"DUE TODAY",IF(AND(K931&lt;&gt;"",K931&lt;=TODAY()),"FOLLOW UP",IF(AND(E931&lt;&gt;"",E931&lt;=TODAY()+3),"DUE SOON",IF(E931="","NO DUE DATE",""))))))</f>
        <v/>
      </c>
      <c r="H931" s="45"/>
      <c r="I931" s="46"/>
      <c r="J931" s="45"/>
      <c r="K931" s="47"/>
      <c r="L931" s="47"/>
      <c r="M931" s="47"/>
      <c r="N931" s="45"/>
    </row>
    <row r="932" customFormat="false" ht="18" hidden="false" customHeight="true" outlineLevel="0" collapsed="false">
      <c r="A932" s="44" t="str">
        <f aca="false">IF(B932="","",ROW()-4)</f>
        <v/>
      </c>
      <c r="B932" s="45"/>
      <c r="C932" s="46"/>
      <c r="D932" s="46"/>
      <c r="E932" s="47"/>
      <c r="F932" s="44" t="str">
        <f aca="true">IF(OR(B932="",E932="",C932="Done",C932="Cancelled"),"",E932-TODAY())</f>
        <v/>
      </c>
      <c r="G932" s="48" t="str">
        <f aca="true">IF(OR(B932="",C932="Done",C932="Cancelled"),"",IF(AND(E932&lt;&gt;"",E932&lt;TODAY()),"OVERDUE",IF(AND(E932&lt;&gt;"",E932=TODAY()),"DUE TODAY",IF(AND(K932&lt;&gt;"",K932&lt;=TODAY()),"FOLLOW UP",IF(AND(E932&lt;&gt;"",E932&lt;=TODAY()+3),"DUE SOON",IF(E932="","NO DUE DATE",""))))))</f>
        <v/>
      </c>
      <c r="H932" s="45"/>
      <c r="I932" s="46"/>
      <c r="J932" s="45"/>
      <c r="K932" s="47"/>
      <c r="L932" s="47"/>
      <c r="M932" s="47"/>
      <c r="N932" s="45"/>
    </row>
    <row r="933" customFormat="false" ht="18" hidden="false" customHeight="true" outlineLevel="0" collapsed="false">
      <c r="A933" s="44" t="str">
        <f aca="false">IF(B933="","",ROW()-4)</f>
        <v/>
      </c>
      <c r="B933" s="45"/>
      <c r="C933" s="46"/>
      <c r="D933" s="46"/>
      <c r="E933" s="47"/>
      <c r="F933" s="44" t="str">
        <f aca="true">IF(OR(B933="",E933="",C933="Done",C933="Cancelled"),"",E933-TODAY())</f>
        <v/>
      </c>
      <c r="G933" s="48" t="str">
        <f aca="true">IF(OR(B933="",C933="Done",C933="Cancelled"),"",IF(AND(E933&lt;&gt;"",E933&lt;TODAY()),"OVERDUE",IF(AND(E933&lt;&gt;"",E933=TODAY()),"DUE TODAY",IF(AND(K933&lt;&gt;"",K933&lt;=TODAY()),"FOLLOW UP",IF(AND(E933&lt;&gt;"",E933&lt;=TODAY()+3),"DUE SOON",IF(E933="","NO DUE DATE",""))))))</f>
        <v/>
      </c>
      <c r="H933" s="45"/>
      <c r="I933" s="46"/>
      <c r="J933" s="45"/>
      <c r="K933" s="47"/>
      <c r="L933" s="47"/>
      <c r="M933" s="47"/>
      <c r="N933" s="45"/>
    </row>
    <row r="934" customFormat="false" ht="18" hidden="false" customHeight="true" outlineLevel="0" collapsed="false">
      <c r="A934" s="44" t="str">
        <f aca="false">IF(B934="","",ROW()-4)</f>
        <v/>
      </c>
      <c r="B934" s="45"/>
      <c r="C934" s="46"/>
      <c r="D934" s="46"/>
      <c r="E934" s="47"/>
      <c r="F934" s="44" t="str">
        <f aca="true">IF(OR(B934="",E934="",C934="Done",C934="Cancelled"),"",E934-TODAY())</f>
        <v/>
      </c>
      <c r="G934" s="48" t="str">
        <f aca="true">IF(OR(B934="",C934="Done",C934="Cancelled"),"",IF(AND(E934&lt;&gt;"",E934&lt;TODAY()),"OVERDUE",IF(AND(E934&lt;&gt;"",E934=TODAY()),"DUE TODAY",IF(AND(K934&lt;&gt;"",K934&lt;=TODAY()),"FOLLOW UP",IF(AND(E934&lt;&gt;"",E934&lt;=TODAY()+3),"DUE SOON",IF(E934="","NO DUE DATE",""))))))</f>
        <v/>
      </c>
      <c r="H934" s="45"/>
      <c r="I934" s="46"/>
      <c r="J934" s="45"/>
      <c r="K934" s="47"/>
      <c r="L934" s="47"/>
      <c r="M934" s="47"/>
      <c r="N934" s="45"/>
    </row>
    <row r="935" customFormat="false" ht="18" hidden="false" customHeight="true" outlineLevel="0" collapsed="false">
      <c r="A935" s="44" t="str">
        <f aca="false">IF(B935="","",ROW()-4)</f>
        <v/>
      </c>
      <c r="B935" s="45"/>
      <c r="C935" s="46"/>
      <c r="D935" s="46"/>
      <c r="E935" s="47"/>
      <c r="F935" s="44" t="str">
        <f aca="true">IF(OR(B935="",E935="",C935="Done",C935="Cancelled"),"",E935-TODAY())</f>
        <v/>
      </c>
      <c r="G935" s="48" t="str">
        <f aca="true">IF(OR(B935="",C935="Done",C935="Cancelled"),"",IF(AND(E935&lt;&gt;"",E935&lt;TODAY()),"OVERDUE",IF(AND(E935&lt;&gt;"",E935=TODAY()),"DUE TODAY",IF(AND(K935&lt;&gt;"",K935&lt;=TODAY()),"FOLLOW UP",IF(AND(E935&lt;&gt;"",E935&lt;=TODAY()+3),"DUE SOON",IF(E935="","NO DUE DATE",""))))))</f>
        <v/>
      </c>
      <c r="H935" s="45"/>
      <c r="I935" s="46"/>
      <c r="J935" s="45"/>
      <c r="K935" s="47"/>
      <c r="L935" s="47"/>
      <c r="M935" s="47"/>
      <c r="N935" s="45"/>
    </row>
    <row r="936" customFormat="false" ht="18" hidden="false" customHeight="true" outlineLevel="0" collapsed="false">
      <c r="A936" s="44" t="str">
        <f aca="false">IF(B936="","",ROW()-4)</f>
        <v/>
      </c>
      <c r="B936" s="45"/>
      <c r="C936" s="46"/>
      <c r="D936" s="46"/>
      <c r="E936" s="47"/>
      <c r="F936" s="44" t="str">
        <f aca="true">IF(OR(B936="",E936="",C936="Done",C936="Cancelled"),"",E936-TODAY())</f>
        <v/>
      </c>
      <c r="G936" s="48" t="str">
        <f aca="true">IF(OR(B936="",C936="Done",C936="Cancelled"),"",IF(AND(E936&lt;&gt;"",E936&lt;TODAY()),"OVERDUE",IF(AND(E936&lt;&gt;"",E936=TODAY()),"DUE TODAY",IF(AND(K936&lt;&gt;"",K936&lt;=TODAY()),"FOLLOW UP",IF(AND(E936&lt;&gt;"",E936&lt;=TODAY()+3),"DUE SOON",IF(E936="","NO DUE DATE",""))))))</f>
        <v/>
      </c>
      <c r="H936" s="45"/>
      <c r="I936" s="46"/>
      <c r="J936" s="45"/>
      <c r="K936" s="47"/>
      <c r="L936" s="47"/>
      <c r="M936" s="47"/>
      <c r="N936" s="45"/>
    </row>
    <row r="937" customFormat="false" ht="18" hidden="false" customHeight="true" outlineLevel="0" collapsed="false">
      <c r="A937" s="44" t="str">
        <f aca="false">IF(B937="","",ROW()-4)</f>
        <v/>
      </c>
      <c r="B937" s="45"/>
      <c r="C937" s="46"/>
      <c r="D937" s="46"/>
      <c r="E937" s="47"/>
      <c r="F937" s="44" t="str">
        <f aca="true">IF(OR(B937="",E937="",C937="Done",C937="Cancelled"),"",E937-TODAY())</f>
        <v/>
      </c>
      <c r="G937" s="48" t="str">
        <f aca="true">IF(OR(B937="",C937="Done",C937="Cancelled"),"",IF(AND(E937&lt;&gt;"",E937&lt;TODAY()),"OVERDUE",IF(AND(E937&lt;&gt;"",E937=TODAY()),"DUE TODAY",IF(AND(K937&lt;&gt;"",K937&lt;=TODAY()),"FOLLOW UP",IF(AND(E937&lt;&gt;"",E937&lt;=TODAY()+3),"DUE SOON",IF(E937="","NO DUE DATE",""))))))</f>
        <v/>
      </c>
      <c r="H937" s="45"/>
      <c r="I937" s="46"/>
      <c r="J937" s="45"/>
      <c r="K937" s="47"/>
      <c r="L937" s="47"/>
      <c r="M937" s="47"/>
      <c r="N937" s="45"/>
    </row>
    <row r="938" customFormat="false" ht="18" hidden="false" customHeight="true" outlineLevel="0" collapsed="false">
      <c r="A938" s="44" t="str">
        <f aca="false">IF(B938="","",ROW()-4)</f>
        <v/>
      </c>
      <c r="B938" s="45"/>
      <c r="C938" s="46"/>
      <c r="D938" s="46"/>
      <c r="E938" s="47"/>
      <c r="F938" s="44" t="str">
        <f aca="true">IF(OR(B938="",E938="",C938="Done",C938="Cancelled"),"",E938-TODAY())</f>
        <v/>
      </c>
      <c r="G938" s="48" t="str">
        <f aca="true">IF(OR(B938="",C938="Done",C938="Cancelled"),"",IF(AND(E938&lt;&gt;"",E938&lt;TODAY()),"OVERDUE",IF(AND(E938&lt;&gt;"",E938=TODAY()),"DUE TODAY",IF(AND(K938&lt;&gt;"",K938&lt;=TODAY()),"FOLLOW UP",IF(AND(E938&lt;&gt;"",E938&lt;=TODAY()+3),"DUE SOON",IF(E938="","NO DUE DATE",""))))))</f>
        <v/>
      </c>
      <c r="H938" s="45"/>
      <c r="I938" s="46"/>
      <c r="J938" s="45"/>
      <c r="K938" s="47"/>
      <c r="L938" s="47"/>
      <c r="M938" s="47"/>
      <c r="N938" s="45"/>
    </row>
    <row r="939" customFormat="false" ht="18" hidden="false" customHeight="true" outlineLevel="0" collapsed="false">
      <c r="A939" s="44" t="str">
        <f aca="false">IF(B939="","",ROW()-4)</f>
        <v/>
      </c>
      <c r="B939" s="45"/>
      <c r="C939" s="46"/>
      <c r="D939" s="46"/>
      <c r="E939" s="47"/>
      <c r="F939" s="44" t="str">
        <f aca="true">IF(OR(B939="",E939="",C939="Done",C939="Cancelled"),"",E939-TODAY())</f>
        <v/>
      </c>
      <c r="G939" s="48" t="str">
        <f aca="true">IF(OR(B939="",C939="Done",C939="Cancelled"),"",IF(AND(E939&lt;&gt;"",E939&lt;TODAY()),"OVERDUE",IF(AND(E939&lt;&gt;"",E939=TODAY()),"DUE TODAY",IF(AND(K939&lt;&gt;"",K939&lt;=TODAY()),"FOLLOW UP",IF(AND(E939&lt;&gt;"",E939&lt;=TODAY()+3),"DUE SOON",IF(E939="","NO DUE DATE",""))))))</f>
        <v/>
      </c>
      <c r="H939" s="45"/>
      <c r="I939" s="46"/>
      <c r="J939" s="45"/>
      <c r="K939" s="47"/>
      <c r="L939" s="47"/>
      <c r="M939" s="47"/>
      <c r="N939" s="45"/>
    </row>
    <row r="940" customFormat="false" ht="18" hidden="false" customHeight="true" outlineLevel="0" collapsed="false">
      <c r="A940" s="44" t="str">
        <f aca="false">IF(B940="","",ROW()-4)</f>
        <v/>
      </c>
      <c r="B940" s="45"/>
      <c r="C940" s="46"/>
      <c r="D940" s="46"/>
      <c r="E940" s="47"/>
      <c r="F940" s="44" t="str">
        <f aca="true">IF(OR(B940="",E940="",C940="Done",C940="Cancelled"),"",E940-TODAY())</f>
        <v/>
      </c>
      <c r="G940" s="48" t="str">
        <f aca="true">IF(OR(B940="",C940="Done",C940="Cancelled"),"",IF(AND(E940&lt;&gt;"",E940&lt;TODAY()),"OVERDUE",IF(AND(E940&lt;&gt;"",E940=TODAY()),"DUE TODAY",IF(AND(K940&lt;&gt;"",K940&lt;=TODAY()),"FOLLOW UP",IF(AND(E940&lt;&gt;"",E940&lt;=TODAY()+3),"DUE SOON",IF(E940="","NO DUE DATE",""))))))</f>
        <v/>
      </c>
      <c r="H940" s="45"/>
      <c r="I940" s="46"/>
      <c r="J940" s="45"/>
      <c r="K940" s="47"/>
      <c r="L940" s="47"/>
      <c r="M940" s="47"/>
      <c r="N940" s="45"/>
    </row>
    <row r="941" customFormat="false" ht="18" hidden="false" customHeight="true" outlineLevel="0" collapsed="false">
      <c r="A941" s="44" t="str">
        <f aca="false">IF(B941="","",ROW()-4)</f>
        <v/>
      </c>
      <c r="B941" s="45"/>
      <c r="C941" s="46"/>
      <c r="D941" s="46"/>
      <c r="E941" s="47"/>
      <c r="F941" s="44" t="str">
        <f aca="true">IF(OR(B941="",E941="",C941="Done",C941="Cancelled"),"",E941-TODAY())</f>
        <v/>
      </c>
      <c r="G941" s="48" t="str">
        <f aca="true">IF(OR(B941="",C941="Done",C941="Cancelled"),"",IF(AND(E941&lt;&gt;"",E941&lt;TODAY()),"OVERDUE",IF(AND(E941&lt;&gt;"",E941=TODAY()),"DUE TODAY",IF(AND(K941&lt;&gt;"",K941&lt;=TODAY()),"FOLLOW UP",IF(AND(E941&lt;&gt;"",E941&lt;=TODAY()+3),"DUE SOON",IF(E941="","NO DUE DATE",""))))))</f>
        <v/>
      </c>
      <c r="H941" s="45"/>
      <c r="I941" s="46"/>
      <c r="J941" s="45"/>
      <c r="K941" s="47"/>
      <c r="L941" s="47"/>
      <c r="M941" s="47"/>
      <c r="N941" s="45"/>
    </row>
    <row r="942" customFormat="false" ht="18" hidden="false" customHeight="true" outlineLevel="0" collapsed="false">
      <c r="A942" s="44" t="str">
        <f aca="false">IF(B942="","",ROW()-4)</f>
        <v/>
      </c>
      <c r="B942" s="45"/>
      <c r="C942" s="46"/>
      <c r="D942" s="46"/>
      <c r="E942" s="47"/>
      <c r="F942" s="44" t="str">
        <f aca="true">IF(OR(B942="",E942="",C942="Done",C942="Cancelled"),"",E942-TODAY())</f>
        <v/>
      </c>
      <c r="G942" s="48" t="str">
        <f aca="true">IF(OR(B942="",C942="Done",C942="Cancelled"),"",IF(AND(E942&lt;&gt;"",E942&lt;TODAY()),"OVERDUE",IF(AND(E942&lt;&gt;"",E942=TODAY()),"DUE TODAY",IF(AND(K942&lt;&gt;"",K942&lt;=TODAY()),"FOLLOW UP",IF(AND(E942&lt;&gt;"",E942&lt;=TODAY()+3),"DUE SOON",IF(E942="","NO DUE DATE",""))))))</f>
        <v/>
      </c>
      <c r="H942" s="45"/>
      <c r="I942" s="46"/>
      <c r="J942" s="45"/>
      <c r="K942" s="47"/>
      <c r="L942" s="47"/>
      <c r="M942" s="47"/>
      <c r="N942" s="45"/>
    </row>
    <row r="943" customFormat="false" ht="18" hidden="false" customHeight="true" outlineLevel="0" collapsed="false">
      <c r="A943" s="44" t="str">
        <f aca="false">IF(B943="","",ROW()-4)</f>
        <v/>
      </c>
      <c r="B943" s="45"/>
      <c r="C943" s="46"/>
      <c r="D943" s="46"/>
      <c r="E943" s="47"/>
      <c r="F943" s="44" t="str">
        <f aca="true">IF(OR(B943="",E943="",C943="Done",C943="Cancelled"),"",E943-TODAY())</f>
        <v/>
      </c>
      <c r="G943" s="48" t="str">
        <f aca="true">IF(OR(B943="",C943="Done",C943="Cancelled"),"",IF(AND(E943&lt;&gt;"",E943&lt;TODAY()),"OVERDUE",IF(AND(E943&lt;&gt;"",E943=TODAY()),"DUE TODAY",IF(AND(K943&lt;&gt;"",K943&lt;=TODAY()),"FOLLOW UP",IF(AND(E943&lt;&gt;"",E943&lt;=TODAY()+3),"DUE SOON",IF(E943="","NO DUE DATE",""))))))</f>
        <v/>
      </c>
      <c r="H943" s="45"/>
      <c r="I943" s="46"/>
      <c r="J943" s="45"/>
      <c r="K943" s="47"/>
      <c r="L943" s="47"/>
      <c r="M943" s="47"/>
      <c r="N943" s="45"/>
    </row>
    <row r="944" customFormat="false" ht="18" hidden="false" customHeight="true" outlineLevel="0" collapsed="false">
      <c r="A944" s="44" t="str">
        <f aca="false">IF(B944="","",ROW()-4)</f>
        <v/>
      </c>
      <c r="B944" s="45"/>
      <c r="C944" s="46"/>
      <c r="D944" s="46"/>
      <c r="E944" s="47"/>
      <c r="F944" s="44" t="str">
        <f aca="true">IF(OR(B944="",E944="",C944="Done",C944="Cancelled"),"",E944-TODAY())</f>
        <v/>
      </c>
      <c r="G944" s="48" t="str">
        <f aca="true">IF(OR(B944="",C944="Done",C944="Cancelled"),"",IF(AND(E944&lt;&gt;"",E944&lt;TODAY()),"OVERDUE",IF(AND(E944&lt;&gt;"",E944=TODAY()),"DUE TODAY",IF(AND(K944&lt;&gt;"",K944&lt;=TODAY()),"FOLLOW UP",IF(AND(E944&lt;&gt;"",E944&lt;=TODAY()+3),"DUE SOON",IF(E944="","NO DUE DATE",""))))))</f>
        <v/>
      </c>
      <c r="H944" s="45"/>
      <c r="I944" s="46"/>
      <c r="J944" s="45"/>
      <c r="K944" s="47"/>
      <c r="L944" s="47"/>
      <c r="M944" s="47"/>
      <c r="N944" s="45"/>
    </row>
    <row r="945" customFormat="false" ht="18" hidden="false" customHeight="true" outlineLevel="0" collapsed="false">
      <c r="A945" s="44" t="str">
        <f aca="false">IF(B945="","",ROW()-4)</f>
        <v/>
      </c>
      <c r="B945" s="45"/>
      <c r="C945" s="46"/>
      <c r="D945" s="46"/>
      <c r="E945" s="47"/>
      <c r="F945" s="44" t="str">
        <f aca="true">IF(OR(B945="",E945="",C945="Done",C945="Cancelled"),"",E945-TODAY())</f>
        <v/>
      </c>
      <c r="G945" s="48" t="str">
        <f aca="true">IF(OR(B945="",C945="Done",C945="Cancelled"),"",IF(AND(E945&lt;&gt;"",E945&lt;TODAY()),"OVERDUE",IF(AND(E945&lt;&gt;"",E945=TODAY()),"DUE TODAY",IF(AND(K945&lt;&gt;"",K945&lt;=TODAY()),"FOLLOW UP",IF(AND(E945&lt;&gt;"",E945&lt;=TODAY()+3),"DUE SOON",IF(E945="","NO DUE DATE",""))))))</f>
        <v/>
      </c>
      <c r="H945" s="45"/>
      <c r="I945" s="46"/>
      <c r="J945" s="45"/>
      <c r="K945" s="47"/>
      <c r="L945" s="47"/>
      <c r="M945" s="47"/>
      <c r="N945" s="45"/>
    </row>
    <row r="946" customFormat="false" ht="18" hidden="false" customHeight="true" outlineLevel="0" collapsed="false">
      <c r="A946" s="44" t="str">
        <f aca="false">IF(B946="","",ROW()-4)</f>
        <v/>
      </c>
      <c r="B946" s="45"/>
      <c r="C946" s="46"/>
      <c r="D946" s="46"/>
      <c r="E946" s="47"/>
      <c r="F946" s="44" t="str">
        <f aca="true">IF(OR(B946="",E946="",C946="Done",C946="Cancelled"),"",E946-TODAY())</f>
        <v/>
      </c>
      <c r="G946" s="48" t="str">
        <f aca="true">IF(OR(B946="",C946="Done",C946="Cancelled"),"",IF(AND(E946&lt;&gt;"",E946&lt;TODAY()),"OVERDUE",IF(AND(E946&lt;&gt;"",E946=TODAY()),"DUE TODAY",IF(AND(K946&lt;&gt;"",K946&lt;=TODAY()),"FOLLOW UP",IF(AND(E946&lt;&gt;"",E946&lt;=TODAY()+3),"DUE SOON",IF(E946="","NO DUE DATE",""))))))</f>
        <v/>
      </c>
      <c r="H946" s="45"/>
      <c r="I946" s="46"/>
      <c r="J946" s="45"/>
      <c r="K946" s="47"/>
      <c r="L946" s="47"/>
      <c r="M946" s="47"/>
      <c r="N946" s="45"/>
    </row>
    <row r="947" customFormat="false" ht="18" hidden="false" customHeight="true" outlineLevel="0" collapsed="false">
      <c r="A947" s="44" t="str">
        <f aca="false">IF(B947="","",ROW()-4)</f>
        <v/>
      </c>
      <c r="B947" s="45"/>
      <c r="C947" s="46"/>
      <c r="D947" s="46"/>
      <c r="E947" s="47"/>
      <c r="F947" s="44" t="str">
        <f aca="true">IF(OR(B947="",E947="",C947="Done",C947="Cancelled"),"",E947-TODAY())</f>
        <v/>
      </c>
      <c r="G947" s="48" t="str">
        <f aca="true">IF(OR(B947="",C947="Done",C947="Cancelled"),"",IF(AND(E947&lt;&gt;"",E947&lt;TODAY()),"OVERDUE",IF(AND(E947&lt;&gt;"",E947=TODAY()),"DUE TODAY",IF(AND(K947&lt;&gt;"",K947&lt;=TODAY()),"FOLLOW UP",IF(AND(E947&lt;&gt;"",E947&lt;=TODAY()+3),"DUE SOON",IF(E947="","NO DUE DATE",""))))))</f>
        <v/>
      </c>
      <c r="H947" s="45"/>
      <c r="I947" s="46"/>
      <c r="J947" s="45"/>
      <c r="K947" s="47"/>
      <c r="L947" s="47"/>
      <c r="M947" s="47"/>
      <c r="N947" s="45"/>
    </row>
    <row r="948" customFormat="false" ht="18" hidden="false" customHeight="true" outlineLevel="0" collapsed="false">
      <c r="A948" s="44" t="str">
        <f aca="false">IF(B948="","",ROW()-4)</f>
        <v/>
      </c>
      <c r="B948" s="45"/>
      <c r="C948" s="46"/>
      <c r="D948" s="46"/>
      <c r="E948" s="47"/>
      <c r="F948" s="44" t="str">
        <f aca="true">IF(OR(B948="",E948="",C948="Done",C948="Cancelled"),"",E948-TODAY())</f>
        <v/>
      </c>
      <c r="G948" s="48" t="str">
        <f aca="true">IF(OR(B948="",C948="Done",C948="Cancelled"),"",IF(AND(E948&lt;&gt;"",E948&lt;TODAY()),"OVERDUE",IF(AND(E948&lt;&gt;"",E948=TODAY()),"DUE TODAY",IF(AND(K948&lt;&gt;"",K948&lt;=TODAY()),"FOLLOW UP",IF(AND(E948&lt;&gt;"",E948&lt;=TODAY()+3),"DUE SOON",IF(E948="","NO DUE DATE",""))))))</f>
        <v/>
      </c>
      <c r="H948" s="45"/>
      <c r="I948" s="46"/>
      <c r="J948" s="45"/>
      <c r="K948" s="47"/>
      <c r="L948" s="47"/>
      <c r="M948" s="47"/>
      <c r="N948" s="45"/>
    </row>
    <row r="949" customFormat="false" ht="18" hidden="false" customHeight="true" outlineLevel="0" collapsed="false">
      <c r="A949" s="44" t="str">
        <f aca="false">IF(B949="","",ROW()-4)</f>
        <v/>
      </c>
      <c r="B949" s="45"/>
      <c r="C949" s="46"/>
      <c r="D949" s="46"/>
      <c r="E949" s="47"/>
      <c r="F949" s="44" t="str">
        <f aca="true">IF(OR(B949="",E949="",C949="Done",C949="Cancelled"),"",E949-TODAY())</f>
        <v/>
      </c>
      <c r="G949" s="48" t="str">
        <f aca="true">IF(OR(B949="",C949="Done",C949="Cancelled"),"",IF(AND(E949&lt;&gt;"",E949&lt;TODAY()),"OVERDUE",IF(AND(E949&lt;&gt;"",E949=TODAY()),"DUE TODAY",IF(AND(K949&lt;&gt;"",K949&lt;=TODAY()),"FOLLOW UP",IF(AND(E949&lt;&gt;"",E949&lt;=TODAY()+3),"DUE SOON",IF(E949="","NO DUE DATE",""))))))</f>
        <v/>
      </c>
      <c r="H949" s="45"/>
      <c r="I949" s="46"/>
      <c r="J949" s="45"/>
      <c r="K949" s="47"/>
      <c r="L949" s="47"/>
      <c r="M949" s="47"/>
      <c r="N949" s="45"/>
    </row>
    <row r="950" customFormat="false" ht="18" hidden="false" customHeight="true" outlineLevel="0" collapsed="false">
      <c r="A950" s="44" t="str">
        <f aca="false">IF(B950="","",ROW()-4)</f>
        <v/>
      </c>
      <c r="B950" s="45"/>
      <c r="C950" s="46"/>
      <c r="D950" s="46"/>
      <c r="E950" s="47"/>
      <c r="F950" s="44" t="str">
        <f aca="true">IF(OR(B950="",E950="",C950="Done",C950="Cancelled"),"",E950-TODAY())</f>
        <v/>
      </c>
      <c r="G950" s="48" t="str">
        <f aca="true">IF(OR(B950="",C950="Done",C950="Cancelled"),"",IF(AND(E950&lt;&gt;"",E950&lt;TODAY()),"OVERDUE",IF(AND(E950&lt;&gt;"",E950=TODAY()),"DUE TODAY",IF(AND(K950&lt;&gt;"",K950&lt;=TODAY()),"FOLLOW UP",IF(AND(E950&lt;&gt;"",E950&lt;=TODAY()+3),"DUE SOON",IF(E950="","NO DUE DATE",""))))))</f>
        <v/>
      </c>
      <c r="H950" s="45"/>
      <c r="I950" s="46"/>
      <c r="J950" s="45"/>
      <c r="K950" s="47"/>
      <c r="L950" s="47"/>
      <c r="M950" s="47"/>
      <c r="N950" s="45"/>
    </row>
    <row r="951" customFormat="false" ht="18" hidden="false" customHeight="true" outlineLevel="0" collapsed="false">
      <c r="A951" s="44" t="str">
        <f aca="false">IF(B951="","",ROW()-4)</f>
        <v/>
      </c>
      <c r="B951" s="45"/>
      <c r="C951" s="46"/>
      <c r="D951" s="46"/>
      <c r="E951" s="47"/>
      <c r="F951" s="44" t="str">
        <f aca="true">IF(OR(B951="",E951="",C951="Done",C951="Cancelled"),"",E951-TODAY())</f>
        <v/>
      </c>
      <c r="G951" s="48" t="str">
        <f aca="true">IF(OR(B951="",C951="Done",C951="Cancelled"),"",IF(AND(E951&lt;&gt;"",E951&lt;TODAY()),"OVERDUE",IF(AND(E951&lt;&gt;"",E951=TODAY()),"DUE TODAY",IF(AND(K951&lt;&gt;"",K951&lt;=TODAY()),"FOLLOW UP",IF(AND(E951&lt;&gt;"",E951&lt;=TODAY()+3),"DUE SOON",IF(E951="","NO DUE DATE",""))))))</f>
        <v/>
      </c>
      <c r="H951" s="45"/>
      <c r="I951" s="46"/>
      <c r="J951" s="45"/>
      <c r="K951" s="47"/>
      <c r="L951" s="47"/>
      <c r="M951" s="47"/>
      <c r="N951" s="45"/>
    </row>
    <row r="952" customFormat="false" ht="18" hidden="false" customHeight="true" outlineLevel="0" collapsed="false">
      <c r="A952" s="44" t="str">
        <f aca="false">IF(B952="","",ROW()-4)</f>
        <v/>
      </c>
      <c r="B952" s="45"/>
      <c r="C952" s="46"/>
      <c r="D952" s="46"/>
      <c r="E952" s="47"/>
      <c r="F952" s="44" t="str">
        <f aca="true">IF(OR(B952="",E952="",C952="Done",C952="Cancelled"),"",E952-TODAY())</f>
        <v/>
      </c>
      <c r="G952" s="48" t="str">
        <f aca="true">IF(OR(B952="",C952="Done",C952="Cancelled"),"",IF(AND(E952&lt;&gt;"",E952&lt;TODAY()),"OVERDUE",IF(AND(E952&lt;&gt;"",E952=TODAY()),"DUE TODAY",IF(AND(K952&lt;&gt;"",K952&lt;=TODAY()),"FOLLOW UP",IF(AND(E952&lt;&gt;"",E952&lt;=TODAY()+3),"DUE SOON",IF(E952="","NO DUE DATE",""))))))</f>
        <v/>
      </c>
      <c r="H952" s="45"/>
      <c r="I952" s="46"/>
      <c r="J952" s="45"/>
      <c r="K952" s="47"/>
      <c r="L952" s="47"/>
      <c r="M952" s="47"/>
      <c r="N952" s="45"/>
    </row>
    <row r="953" customFormat="false" ht="18" hidden="false" customHeight="true" outlineLevel="0" collapsed="false">
      <c r="A953" s="44" t="str">
        <f aca="false">IF(B953="","",ROW()-4)</f>
        <v/>
      </c>
      <c r="B953" s="45"/>
      <c r="C953" s="46"/>
      <c r="D953" s="46"/>
      <c r="E953" s="47"/>
      <c r="F953" s="44" t="str">
        <f aca="true">IF(OR(B953="",E953="",C953="Done",C953="Cancelled"),"",E953-TODAY())</f>
        <v/>
      </c>
      <c r="G953" s="48" t="str">
        <f aca="true">IF(OR(B953="",C953="Done",C953="Cancelled"),"",IF(AND(E953&lt;&gt;"",E953&lt;TODAY()),"OVERDUE",IF(AND(E953&lt;&gt;"",E953=TODAY()),"DUE TODAY",IF(AND(K953&lt;&gt;"",K953&lt;=TODAY()),"FOLLOW UP",IF(AND(E953&lt;&gt;"",E953&lt;=TODAY()+3),"DUE SOON",IF(E953="","NO DUE DATE",""))))))</f>
        <v/>
      </c>
      <c r="H953" s="45"/>
      <c r="I953" s="46"/>
      <c r="J953" s="45"/>
      <c r="K953" s="47"/>
      <c r="L953" s="47"/>
      <c r="M953" s="47"/>
      <c r="N953" s="45"/>
    </row>
    <row r="954" customFormat="false" ht="18" hidden="false" customHeight="true" outlineLevel="0" collapsed="false">
      <c r="A954" s="44" t="str">
        <f aca="false">IF(B954="","",ROW()-4)</f>
        <v/>
      </c>
      <c r="B954" s="45"/>
      <c r="C954" s="46"/>
      <c r="D954" s="46"/>
      <c r="E954" s="47"/>
      <c r="F954" s="44" t="str">
        <f aca="true">IF(OR(B954="",E954="",C954="Done",C954="Cancelled"),"",E954-TODAY())</f>
        <v/>
      </c>
      <c r="G954" s="48" t="str">
        <f aca="true">IF(OR(B954="",C954="Done",C954="Cancelled"),"",IF(AND(E954&lt;&gt;"",E954&lt;TODAY()),"OVERDUE",IF(AND(E954&lt;&gt;"",E954=TODAY()),"DUE TODAY",IF(AND(K954&lt;&gt;"",K954&lt;=TODAY()),"FOLLOW UP",IF(AND(E954&lt;&gt;"",E954&lt;=TODAY()+3),"DUE SOON",IF(E954="","NO DUE DATE",""))))))</f>
        <v/>
      </c>
      <c r="H954" s="45"/>
      <c r="I954" s="46"/>
      <c r="J954" s="45"/>
      <c r="K954" s="47"/>
      <c r="L954" s="47"/>
      <c r="M954" s="47"/>
      <c r="N954" s="45"/>
    </row>
    <row r="955" customFormat="false" ht="18" hidden="false" customHeight="true" outlineLevel="0" collapsed="false">
      <c r="A955" s="44" t="str">
        <f aca="false">IF(B955="","",ROW()-4)</f>
        <v/>
      </c>
      <c r="B955" s="45"/>
      <c r="C955" s="46"/>
      <c r="D955" s="46"/>
      <c r="E955" s="47"/>
      <c r="F955" s="44" t="str">
        <f aca="true">IF(OR(B955="",E955="",C955="Done",C955="Cancelled"),"",E955-TODAY())</f>
        <v/>
      </c>
      <c r="G955" s="48" t="str">
        <f aca="true">IF(OR(B955="",C955="Done",C955="Cancelled"),"",IF(AND(E955&lt;&gt;"",E955&lt;TODAY()),"OVERDUE",IF(AND(E955&lt;&gt;"",E955=TODAY()),"DUE TODAY",IF(AND(K955&lt;&gt;"",K955&lt;=TODAY()),"FOLLOW UP",IF(AND(E955&lt;&gt;"",E955&lt;=TODAY()+3),"DUE SOON",IF(E955="","NO DUE DATE",""))))))</f>
        <v/>
      </c>
      <c r="H955" s="45"/>
      <c r="I955" s="46"/>
      <c r="J955" s="45"/>
      <c r="K955" s="47"/>
      <c r="L955" s="47"/>
      <c r="M955" s="47"/>
      <c r="N955" s="45"/>
    </row>
    <row r="956" customFormat="false" ht="18" hidden="false" customHeight="true" outlineLevel="0" collapsed="false">
      <c r="A956" s="44" t="str">
        <f aca="false">IF(B956="","",ROW()-4)</f>
        <v/>
      </c>
      <c r="B956" s="45"/>
      <c r="C956" s="46"/>
      <c r="D956" s="46"/>
      <c r="E956" s="47"/>
      <c r="F956" s="44" t="str">
        <f aca="true">IF(OR(B956="",E956="",C956="Done",C956="Cancelled"),"",E956-TODAY())</f>
        <v/>
      </c>
      <c r="G956" s="48" t="str">
        <f aca="true">IF(OR(B956="",C956="Done",C956="Cancelled"),"",IF(AND(E956&lt;&gt;"",E956&lt;TODAY()),"OVERDUE",IF(AND(E956&lt;&gt;"",E956=TODAY()),"DUE TODAY",IF(AND(K956&lt;&gt;"",K956&lt;=TODAY()),"FOLLOW UP",IF(AND(E956&lt;&gt;"",E956&lt;=TODAY()+3),"DUE SOON",IF(E956="","NO DUE DATE",""))))))</f>
        <v/>
      </c>
      <c r="H956" s="45"/>
      <c r="I956" s="46"/>
      <c r="J956" s="45"/>
      <c r="K956" s="47"/>
      <c r="L956" s="47"/>
      <c r="M956" s="47"/>
      <c r="N956" s="45"/>
    </row>
    <row r="957" customFormat="false" ht="18" hidden="false" customHeight="true" outlineLevel="0" collapsed="false">
      <c r="A957" s="44" t="str">
        <f aca="false">IF(B957="","",ROW()-4)</f>
        <v/>
      </c>
      <c r="B957" s="45"/>
      <c r="C957" s="46"/>
      <c r="D957" s="46"/>
      <c r="E957" s="47"/>
      <c r="F957" s="44" t="str">
        <f aca="true">IF(OR(B957="",E957="",C957="Done",C957="Cancelled"),"",E957-TODAY())</f>
        <v/>
      </c>
      <c r="G957" s="48" t="str">
        <f aca="true">IF(OR(B957="",C957="Done",C957="Cancelled"),"",IF(AND(E957&lt;&gt;"",E957&lt;TODAY()),"OVERDUE",IF(AND(E957&lt;&gt;"",E957=TODAY()),"DUE TODAY",IF(AND(K957&lt;&gt;"",K957&lt;=TODAY()),"FOLLOW UP",IF(AND(E957&lt;&gt;"",E957&lt;=TODAY()+3),"DUE SOON",IF(E957="","NO DUE DATE",""))))))</f>
        <v/>
      </c>
      <c r="H957" s="45"/>
      <c r="I957" s="46"/>
      <c r="J957" s="45"/>
      <c r="K957" s="47"/>
      <c r="L957" s="47"/>
      <c r="M957" s="47"/>
      <c r="N957" s="45"/>
    </row>
    <row r="958" customFormat="false" ht="18" hidden="false" customHeight="true" outlineLevel="0" collapsed="false">
      <c r="A958" s="44" t="str">
        <f aca="false">IF(B958="","",ROW()-4)</f>
        <v/>
      </c>
      <c r="B958" s="45"/>
      <c r="C958" s="46"/>
      <c r="D958" s="46"/>
      <c r="E958" s="47"/>
      <c r="F958" s="44" t="str">
        <f aca="true">IF(OR(B958="",E958="",C958="Done",C958="Cancelled"),"",E958-TODAY())</f>
        <v/>
      </c>
      <c r="G958" s="48" t="str">
        <f aca="true">IF(OR(B958="",C958="Done",C958="Cancelled"),"",IF(AND(E958&lt;&gt;"",E958&lt;TODAY()),"OVERDUE",IF(AND(E958&lt;&gt;"",E958=TODAY()),"DUE TODAY",IF(AND(K958&lt;&gt;"",K958&lt;=TODAY()),"FOLLOW UP",IF(AND(E958&lt;&gt;"",E958&lt;=TODAY()+3),"DUE SOON",IF(E958="","NO DUE DATE",""))))))</f>
        <v/>
      </c>
      <c r="H958" s="45"/>
      <c r="I958" s="46"/>
      <c r="J958" s="45"/>
      <c r="K958" s="47"/>
      <c r="L958" s="47"/>
      <c r="M958" s="47"/>
      <c r="N958" s="45"/>
    </row>
    <row r="959" customFormat="false" ht="18" hidden="false" customHeight="true" outlineLevel="0" collapsed="false">
      <c r="A959" s="44" t="str">
        <f aca="false">IF(B959="","",ROW()-4)</f>
        <v/>
      </c>
      <c r="B959" s="45"/>
      <c r="C959" s="46"/>
      <c r="D959" s="46"/>
      <c r="E959" s="47"/>
      <c r="F959" s="44" t="str">
        <f aca="true">IF(OR(B959="",E959="",C959="Done",C959="Cancelled"),"",E959-TODAY())</f>
        <v/>
      </c>
      <c r="G959" s="48" t="str">
        <f aca="true">IF(OR(B959="",C959="Done",C959="Cancelled"),"",IF(AND(E959&lt;&gt;"",E959&lt;TODAY()),"OVERDUE",IF(AND(E959&lt;&gt;"",E959=TODAY()),"DUE TODAY",IF(AND(K959&lt;&gt;"",K959&lt;=TODAY()),"FOLLOW UP",IF(AND(E959&lt;&gt;"",E959&lt;=TODAY()+3),"DUE SOON",IF(E959="","NO DUE DATE",""))))))</f>
        <v/>
      </c>
      <c r="H959" s="45"/>
      <c r="I959" s="46"/>
      <c r="J959" s="45"/>
      <c r="K959" s="47"/>
      <c r="L959" s="47"/>
      <c r="M959" s="47"/>
      <c r="N959" s="45"/>
    </row>
    <row r="960" customFormat="false" ht="18" hidden="false" customHeight="true" outlineLevel="0" collapsed="false">
      <c r="A960" s="44" t="str">
        <f aca="false">IF(B960="","",ROW()-4)</f>
        <v/>
      </c>
      <c r="B960" s="45"/>
      <c r="C960" s="46"/>
      <c r="D960" s="46"/>
      <c r="E960" s="47"/>
      <c r="F960" s="44" t="str">
        <f aca="true">IF(OR(B960="",E960="",C960="Done",C960="Cancelled"),"",E960-TODAY())</f>
        <v/>
      </c>
      <c r="G960" s="48" t="str">
        <f aca="true">IF(OR(B960="",C960="Done",C960="Cancelled"),"",IF(AND(E960&lt;&gt;"",E960&lt;TODAY()),"OVERDUE",IF(AND(E960&lt;&gt;"",E960=TODAY()),"DUE TODAY",IF(AND(K960&lt;&gt;"",K960&lt;=TODAY()),"FOLLOW UP",IF(AND(E960&lt;&gt;"",E960&lt;=TODAY()+3),"DUE SOON",IF(E960="","NO DUE DATE",""))))))</f>
        <v/>
      </c>
      <c r="H960" s="45"/>
      <c r="I960" s="46"/>
      <c r="J960" s="45"/>
      <c r="K960" s="47"/>
      <c r="L960" s="47"/>
      <c r="M960" s="47"/>
      <c r="N960" s="45"/>
    </row>
    <row r="961" customFormat="false" ht="18" hidden="false" customHeight="true" outlineLevel="0" collapsed="false">
      <c r="A961" s="44" t="str">
        <f aca="false">IF(B961="","",ROW()-4)</f>
        <v/>
      </c>
      <c r="B961" s="45"/>
      <c r="C961" s="46"/>
      <c r="D961" s="46"/>
      <c r="E961" s="47"/>
      <c r="F961" s="44" t="str">
        <f aca="true">IF(OR(B961="",E961="",C961="Done",C961="Cancelled"),"",E961-TODAY())</f>
        <v/>
      </c>
      <c r="G961" s="48" t="str">
        <f aca="true">IF(OR(B961="",C961="Done",C961="Cancelled"),"",IF(AND(E961&lt;&gt;"",E961&lt;TODAY()),"OVERDUE",IF(AND(E961&lt;&gt;"",E961=TODAY()),"DUE TODAY",IF(AND(K961&lt;&gt;"",K961&lt;=TODAY()),"FOLLOW UP",IF(AND(E961&lt;&gt;"",E961&lt;=TODAY()+3),"DUE SOON",IF(E961="","NO DUE DATE",""))))))</f>
        <v/>
      </c>
      <c r="H961" s="45"/>
      <c r="I961" s="46"/>
      <c r="J961" s="45"/>
      <c r="K961" s="47"/>
      <c r="L961" s="47"/>
      <c r="M961" s="47"/>
      <c r="N961" s="45"/>
    </row>
    <row r="962" customFormat="false" ht="18" hidden="false" customHeight="true" outlineLevel="0" collapsed="false">
      <c r="A962" s="44" t="str">
        <f aca="false">IF(B962="","",ROW()-4)</f>
        <v/>
      </c>
      <c r="B962" s="45"/>
      <c r="C962" s="46"/>
      <c r="D962" s="46"/>
      <c r="E962" s="47"/>
      <c r="F962" s="44" t="str">
        <f aca="true">IF(OR(B962="",E962="",C962="Done",C962="Cancelled"),"",E962-TODAY())</f>
        <v/>
      </c>
      <c r="G962" s="48" t="str">
        <f aca="true">IF(OR(B962="",C962="Done",C962="Cancelled"),"",IF(AND(E962&lt;&gt;"",E962&lt;TODAY()),"OVERDUE",IF(AND(E962&lt;&gt;"",E962=TODAY()),"DUE TODAY",IF(AND(K962&lt;&gt;"",K962&lt;=TODAY()),"FOLLOW UP",IF(AND(E962&lt;&gt;"",E962&lt;=TODAY()+3),"DUE SOON",IF(E962="","NO DUE DATE",""))))))</f>
        <v/>
      </c>
      <c r="H962" s="45"/>
      <c r="I962" s="46"/>
      <c r="J962" s="45"/>
      <c r="K962" s="47"/>
      <c r="L962" s="47"/>
      <c r="M962" s="47"/>
      <c r="N962" s="45"/>
    </row>
    <row r="963" customFormat="false" ht="18" hidden="false" customHeight="true" outlineLevel="0" collapsed="false">
      <c r="A963" s="44" t="str">
        <f aca="false">IF(B963="","",ROW()-4)</f>
        <v/>
      </c>
      <c r="B963" s="45"/>
      <c r="C963" s="46"/>
      <c r="D963" s="46"/>
      <c r="E963" s="47"/>
      <c r="F963" s="44" t="str">
        <f aca="true">IF(OR(B963="",E963="",C963="Done",C963="Cancelled"),"",E963-TODAY())</f>
        <v/>
      </c>
      <c r="G963" s="48" t="str">
        <f aca="true">IF(OR(B963="",C963="Done",C963="Cancelled"),"",IF(AND(E963&lt;&gt;"",E963&lt;TODAY()),"OVERDUE",IF(AND(E963&lt;&gt;"",E963=TODAY()),"DUE TODAY",IF(AND(K963&lt;&gt;"",K963&lt;=TODAY()),"FOLLOW UP",IF(AND(E963&lt;&gt;"",E963&lt;=TODAY()+3),"DUE SOON",IF(E963="","NO DUE DATE",""))))))</f>
        <v/>
      </c>
      <c r="H963" s="45"/>
      <c r="I963" s="46"/>
      <c r="J963" s="45"/>
      <c r="K963" s="47"/>
      <c r="L963" s="47"/>
      <c r="M963" s="47"/>
      <c r="N963" s="45"/>
    </row>
    <row r="964" customFormat="false" ht="18" hidden="false" customHeight="true" outlineLevel="0" collapsed="false">
      <c r="A964" s="44" t="str">
        <f aca="false">IF(B964="","",ROW()-4)</f>
        <v/>
      </c>
      <c r="B964" s="45"/>
      <c r="C964" s="46"/>
      <c r="D964" s="46"/>
      <c r="E964" s="47"/>
      <c r="F964" s="44" t="str">
        <f aca="true">IF(OR(B964="",E964="",C964="Done",C964="Cancelled"),"",E964-TODAY())</f>
        <v/>
      </c>
      <c r="G964" s="48" t="str">
        <f aca="true">IF(OR(B964="",C964="Done",C964="Cancelled"),"",IF(AND(E964&lt;&gt;"",E964&lt;TODAY()),"OVERDUE",IF(AND(E964&lt;&gt;"",E964=TODAY()),"DUE TODAY",IF(AND(K964&lt;&gt;"",K964&lt;=TODAY()),"FOLLOW UP",IF(AND(E964&lt;&gt;"",E964&lt;=TODAY()+3),"DUE SOON",IF(E964="","NO DUE DATE",""))))))</f>
        <v/>
      </c>
      <c r="H964" s="45"/>
      <c r="I964" s="46"/>
      <c r="J964" s="45"/>
      <c r="K964" s="47"/>
      <c r="L964" s="47"/>
      <c r="M964" s="47"/>
      <c r="N964" s="45"/>
    </row>
    <row r="965" customFormat="false" ht="18" hidden="false" customHeight="true" outlineLevel="0" collapsed="false">
      <c r="A965" s="44" t="str">
        <f aca="false">IF(B965="","",ROW()-4)</f>
        <v/>
      </c>
      <c r="B965" s="45"/>
      <c r="C965" s="46"/>
      <c r="D965" s="46"/>
      <c r="E965" s="47"/>
      <c r="F965" s="44" t="str">
        <f aca="true">IF(OR(B965="",E965="",C965="Done",C965="Cancelled"),"",E965-TODAY())</f>
        <v/>
      </c>
      <c r="G965" s="48" t="str">
        <f aca="true">IF(OR(B965="",C965="Done",C965="Cancelled"),"",IF(AND(E965&lt;&gt;"",E965&lt;TODAY()),"OVERDUE",IF(AND(E965&lt;&gt;"",E965=TODAY()),"DUE TODAY",IF(AND(K965&lt;&gt;"",K965&lt;=TODAY()),"FOLLOW UP",IF(AND(E965&lt;&gt;"",E965&lt;=TODAY()+3),"DUE SOON",IF(E965="","NO DUE DATE",""))))))</f>
        <v/>
      </c>
      <c r="H965" s="45"/>
      <c r="I965" s="46"/>
      <c r="J965" s="45"/>
      <c r="K965" s="47"/>
      <c r="L965" s="47"/>
      <c r="M965" s="47"/>
      <c r="N965" s="45"/>
    </row>
    <row r="966" customFormat="false" ht="18" hidden="false" customHeight="true" outlineLevel="0" collapsed="false">
      <c r="A966" s="44" t="str">
        <f aca="false">IF(B966="","",ROW()-4)</f>
        <v/>
      </c>
      <c r="B966" s="45"/>
      <c r="C966" s="46"/>
      <c r="D966" s="46"/>
      <c r="E966" s="47"/>
      <c r="F966" s="44" t="str">
        <f aca="true">IF(OR(B966="",E966="",C966="Done",C966="Cancelled"),"",E966-TODAY())</f>
        <v/>
      </c>
      <c r="G966" s="48" t="str">
        <f aca="true">IF(OR(B966="",C966="Done",C966="Cancelled"),"",IF(AND(E966&lt;&gt;"",E966&lt;TODAY()),"OVERDUE",IF(AND(E966&lt;&gt;"",E966=TODAY()),"DUE TODAY",IF(AND(K966&lt;&gt;"",K966&lt;=TODAY()),"FOLLOW UP",IF(AND(E966&lt;&gt;"",E966&lt;=TODAY()+3),"DUE SOON",IF(E966="","NO DUE DATE",""))))))</f>
        <v/>
      </c>
      <c r="H966" s="45"/>
      <c r="I966" s="46"/>
      <c r="J966" s="45"/>
      <c r="K966" s="47"/>
      <c r="L966" s="47"/>
      <c r="M966" s="47"/>
      <c r="N966" s="45"/>
    </row>
    <row r="967" customFormat="false" ht="18" hidden="false" customHeight="true" outlineLevel="0" collapsed="false">
      <c r="A967" s="44" t="str">
        <f aca="false">IF(B967="","",ROW()-4)</f>
        <v/>
      </c>
      <c r="B967" s="45"/>
      <c r="C967" s="46"/>
      <c r="D967" s="46"/>
      <c r="E967" s="47"/>
      <c r="F967" s="44" t="str">
        <f aca="true">IF(OR(B967="",E967="",C967="Done",C967="Cancelled"),"",E967-TODAY())</f>
        <v/>
      </c>
      <c r="G967" s="48" t="str">
        <f aca="true">IF(OR(B967="",C967="Done",C967="Cancelled"),"",IF(AND(E967&lt;&gt;"",E967&lt;TODAY()),"OVERDUE",IF(AND(E967&lt;&gt;"",E967=TODAY()),"DUE TODAY",IF(AND(K967&lt;&gt;"",K967&lt;=TODAY()),"FOLLOW UP",IF(AND(E967&lt;&gt;"",E967&lt;=TODAY()+3),"DUE SOON",IF(E967="","NO DUE DATE",""))))))</f>
        <v/>
      </c>
      <c r="H967" s="45"/>
      <c r="I967" s="46"/>
      <c r="J967" s="45"/>
      <c r="K967" s="47"/>
      <c r="L967" s="47"/>
      <c r="M967" s="47"/>
      <c r="N967" s="45"/>
    </row>
    <row r="968" customFormat="false" ht="18" hidden="false" customHeight="true" outlineLevel="0" collapsed="false">
      <c r="A968" s="44" t="str">
        <f aca="false">IF(B968="","",ROW()-4)</f>
        <v/>
      </c>
      <c r="B968" s="45"/>
      <c r="C968" s="46"/>
      <c r="D968" s="46"/>
      <c r="E968" s="47"/>
      <c r="F968" s="44" t="str">
        <f aca="true">IF(OR(B968="",E968="",C968="Done",C968="Cancelled"),"",E968-TODAY())</f>
        <v/>
      </c>
      <c r="G968" s="48" t="str">
        <f aca="true">IF(OR(B968="",C968="Done",C968="Cancelled"),"",IF(AND(E968&lt;&gt;"",E968&lt;TODAY()),"OVERDUE",IF(AND(E968&lt;&gt;"",E968=TODAY()),"DUE TODAY",IF(AND(K968&lt;&gt;"",K968&lt;=TODAY()),"FOLLOW UP",IF(AND(E968&lt;&gt;"",E968&lt;=TODAY()+3),"DUE SOON",IF(E968="","NO DUE DATE",""))))))</f>
        <v/>
      </c>
      <c r="H968" s="45"/>
      <c r="I968" s="46"/>
      <c r="J968" s="45"/>
      <c r="K968" s="47"/>
      <c r="L968" s="47"/>
      <c r="M968" s="47"/>
      <c r="N968" s="45"/>
    </row>
    <row r="969" customFormat="false" ht="18" hidden="false" customHeight="true" outlineLevel="0" collapsed="false">
      <c r="A969" s="44" t="str">
        <f aca="false">IF(B969="","",ROW()-4)</f>
        <v/>
      </c>
      <c r="B969" s="45"/>
      <c r="C969" s="46"/>
      <c r="D969" s="46"/>
      <c r="E969" s="47"/>
      <c r="F969" s="44" t="str">
        <f aca="true">IF(OR(B969="",E969="",C969="Done",C969="Cancelled"),"",E969-TODAY())</f>
        <v/>
      </c>
      <c r="G969" s="48" t="str">
        <f aca="true">IF(OR(B969="",C969="Done",C969="Cancelled"),"",IF(AND(E969&lt;&gt;"",E969&lt;TODAY()),"OVERDUE",IF(AND(E969&lt;&gt;"",E969=TODAY()),"DUE TODAY",IF(AND(K969&lt;&gt;"",K969&lt;=TODAY()),"FOLLOW UP",IF(AND(E969&lt;&gt;"",E969&lt;=TODAY()+3),"DUE SOON",IF(E969="","NO DUE DATE",""))))))</f>
        <v/>
      </c>
      <c r="H969" s="45"/>
      <c r="I969" s="46"/>
      <c r="J969" s="45"/>
      <c r="K969" s="47"/>
      <c r="L969" s="47"/>
      <c r="M969" s="47"/>
      <c r="N969" s="45"/>
    </row>
    <row r="970" customFormat="false" ht="18" hidden="false" customHeight="true" outlineLevel="0" collapsed="false">
      <c r="A970" s="44" t="str">
        <f aca="false">IF(B970="","",ROW()-4)</f>
        <v/>
      </c>
      <c r="B970" s="45"/>
      <c r="C970" s="46"/>
      <c r="D970" s="46"/>
      <c r="E970" s="47"/>
      <c r="F970" s="44" t="str">
        <f aca="true">IF(OR(B970="",E970="",C970="Done",C970="Cancelled"),"",E970-TODAY())</f>
        <v/>
      </c>
      <c r="G970" s="48" t="str">
        <f aca="true">IF(OR(B970="",C970="Done",C970="Cancelled"),"",IF(AND(E970&lt;&gt;"",E970&lt;TODAY()),"OVERDUE",IF(AND(E970&lt;&gt;"",E970=TODAY()),"DUE TODAY",IF(AND(K970&lt;&gt;"",K970&lt;=TODAY()),"FOLLOW UP",IF(AND(E970&lt;&gt;"",E970&lt;=TODAY()+3),"DUE SOON",IF(E970="","NO DUE DATE",""))))))</f>
        <v/>
      </c>
      <c r="H970" s="45"/>
      <c r="I970" s="46"/>
      <c r="J970" s="45"/>
      <c r="K970" s="47"/>
      <c r="L970" s="47"/>
      <c r="M970" s="47"/>
      <c r="N970" s="45"/>
    </row>
    <row r="971" customFormat="false" ht="18" hidden="false" customHeight="true" outlineLevel="0" collapsed="false">
      <c r="A971" s="44" t="str">
        <f aca="false">IF(B971="","",ROW()-4)</f>
        <v/>
      </c>
      <c r="B971" s="45"/>
      <c r="C971" s="46"/>
      <c r="D971" s="46"/>
      <c r="E971" s="47"/>
      <c r="F971" s="44" t="str">
        <f aca="true">IF(OR(B971="",E971="",C971="Done",C971="Cancelled"),"",E971-TODAY())</f>
        <v/>
      </c>
      <c r="G971" s="48" t="str">
        <f aca="true">IF(OR(B971="",C971="Done",C971="Cancelled"),"",IF(AND(E971&lt;&gt;"",E971&lt;TODAY()),"OVERDUE",IF(AND(E971&lt;&gt;"",E971=TODAY()),"DUE TODAY",IF(AND(K971&lt;&gt;"",K971&lt;=TODAY()),"FOLLOW UP",IF(AND(E971&lt;&gt;"",E971&lt;=TODAY()+3),"DUE SOON",IF(E971="","NO DUE DATE",""))))))</f>
        <v/>
      </c>
      <c r="H971" s="45"/>
      <c r="I971" s="46"/>
      <c r="J971" s="45"/>
      <c r="K971" s="47"/>
      <c r="L971" s="47"/>
      <c r="M971" s="47"/>
      <c r="N971" s="45"/>
    </row>
    <row r="972" customFormat="false" ht="18" hidden="false" customHeight="true" outlineLevel="0" collapsed="false">
      <c r="A972" s="44" t="str">
        <f aca="false">IF(B972="","",ROW()-4)</f>
        <v/>
      </c>
      <c r="B972" s="45"/>
      <c r="C972" s="46"/>
      <c r="D972" s="46"/>
      <c r="E972" s="47"/>
      <c r="F972" s="44" t="str">
        <f aca="true">IF(OR(B972="",E972="",C972="Done",C972="Cancelled"),"",E972-TODAY())</f>
        <v/>
      </c>
      <c r="G972" s="48" t="str">
        <f aca="true">IF(OR(B972="",C972="Done",C972="Cancelled"),"",IF(AND(E972&lt;&gt;"",E972&lt;TODAY()),"OVERDUE",IF(AND(E972&lt;&gt;"",E972=TODAY()),"DUE TODAY",IF(AND(K972&lt;&gt;"",K972&lt;=TODAY()),"FOLLOW UP",IF(AND(E972&lt;&gt;"",E972&lt;=TODAY()+3),"DUE SOON",IF(E972="","NO DUE DATE",""))))))</f>
        <v/>
      </c>
      <c r="H972" s="45"/>
      <c r="I972" s="46"/>
      <c r="J972" s="45"/>
      <c r="K972" s="47"/>
      <c r="L972" s="47"/>
      <c r="M972" s="47"/>
      <c r="N972" s="45"/>
    </row>
    <row r="973" customFormat="false" ht="18" hidden="false" customHeight="true" outlineLevel="0" collapsed="false">
      <c r="A973" s="44" t="str">
        <f aca="false">IF(B973="","",ROW()-4)</f>
        <v/>
      </c>
      <c r="B973" s="45"/>
      <c r="C973" s="46"/>
      <c r="D973" s="46"/>
      <c r="E973" s="47"/>
      <c r="F973" s="44" t="str">
        <f aca="true">IF(OR(B973="",E973="",C973="Done",C973="Cancelled"),"",E973-TODAY())</f>
        <v/>
      </c>
      <c r="G973" s="48" t="str">
        <f aca="true">IF(OR(B973="",C973="Done",C973="Cancelled"),"",IF(AND(E973&lt;&gt;"",E973&lt;TODAY()),"OVERDUE",IF(AND(E973&lt;&gt;"",E973=TODAY()),"DUE TODAY",IF(AND(K973&lt;&gt;"",K973&lt;=TODAY()),"FOLLOW UP",IF(AND(E973&lt;&gt;"",E973&lt;=TODAY()+3),"DUE SOON",IF(E973="","NO DUE DATE",""))))))</f>
        <v/>
      </c>
      <c r="H973" s="45"/>
      <c r="I973" s="46"/>
      <c r="J973" s="45"/>
      <c r="K973" s="47"/>
      <c r="L973" s="47"/>
      <c r="M973" s="47"/>
      <c r="N973" s="45"/>
    </row>
    <row r="974" customFormat="false" ht="18" hidden="false" customHeight="true" outlineLevel="0" collapsed="false">
      <c r="A974" s="44" t="str">
        <f aca="false">IF(B974="","",ROW()-4)</f>
        <v/>
      </c>
      <c r="B974" s="45"/>
      <c r="C974" s="46"/>
      <c r="D974" s="46"/>
      <c r="E974" s="47"/>
      <c r="F974" s="44" t="str">
        <f aca="true">IF(OR(B974="",E974="",C974="Done",C974="Cancelled"),"",E974-TODAY())</f>
        <v/>
      </c>
      <c r="G974" s="48" t="str">
        <f aca="true">IF(OR(B974="",C974="Done",C974="Cancelled"),"",IF(AND(E974&lt;&gt;"",E974&lt;TODAY()),"OVERDUE",IF(AND(E974&lt;&gt;"",E974=TODAY()),"DUE TODAY",IF(AND(K974&lt;&gt;"",K974&lt;=TODAY()),"FOLLOW UP",IF(AND(E974&lt;&gt;"",E974&lt;=TODAY()+3),"DUE SOON",IF(E974="","NO DUE DATE",""))))))</f>
        <v/>
      </c>
      <c r="H974" s="45"/>
      <c r="I974" s="46"/>
      <c r="J974" s="45"/>
      <c r="K974" s="47"/>
      <c r="L974" s="47"/>
      <c r="M974" s="47"/>
      <c r="N974" s="45"/>
    </row>
    <row r="975" customFormat="false" ht="18" hidden="false" customHeight="true" outlineLevel="0" collapsed="false">
      <c r="A975" s="44" t="str">
        <f aca="false">IF(B975="","",ROW()-4)</f>
        <v/>
      </c>
      <c r="B975" s="45"/>
      <c r="C975" s="46"/>
      <c r="D975" s="46"/>
      <c r="E975" s="47"/>
      <c r="F975" s="44" t="str">
        <f aca="true">IF(OR(B975="",E975="",C975="Done",C975="Cancelled"),"",E975-TODAY())</f>
        <v/>
      </c>
      <c r="G975" s="48" t="str">
        <f aca="true">IF(OR(B975="",C975="Done",C975="Cancelled"),"",IF(AND(E975&lt;&gt;"",E975&lt;TODAY()),"OVERDUE",IF(AND(E975&lt;&gt;"",E975=TODAY()),"DUE TODAY",IF(AND(K975&lt;&gt;"",K975&lt;=TODAY()),"FOLLOW UP",IF(AND(E975&lt;&gt;"",E975&lt;=TODAY()+3),"DUE SOON",IF(E975="","NO DUE DATE",""))))))</f>
        <v/>
      </c>
      <c r="H975" s="45"/>
      <c r="I975" s="46"/>
      <c r="J975" s="45"/>
      <c r="K975" s="47"/>
      <c r="L975" s="47"/>
      <c r="M975" s="47"/>
      <c r="N975" s="45"/>
    </row>
    <row r="976" customFormat="false" ht="18" hidden="false" customHeight="true" outlineLevel="0" collapsed="false">
      <c r="A976" s="44" t="str">
        <f aca="false">IF(B976="","",ROW()-4)</f>
        <v/>
      </c>
      <c r="B976" s="45"/>
      <c r="C976" s="46"/>
      <c r="D976" s="46"/>
      <c r="E976" s="47"/>
      <c r="F976" s="44" t="str">
        <f aca="true">IF(OR(B976="",E976="",C976="Done",C976="Cancelled"),"",E976-TODAY())</f>
        <v/>
      </c>
      <c r="G976" s="48" t="str">
        <f aca="true">IF(OR(B976="",C976="Done",C976="Cancelled"),"",IF(AND(E976&lt;&gt;"",E976&lt;TODAY()),"OVERDUE",IF(AND(E976&lt;&gt;"",E976=TODAY()),"DUE TODAY",IF(AND(K976&lt;&gt;"",K976&lt;=TODAY()),"FOLLOW UP",IF(AND(E976&lt;&gt;"",E976&lt;=TODAY()+3),"DUE SOON",IF(E976="","NO DUE DATE",""))))))</f>
        <v/>
      </c>
      <c r="H976" s="45"/>
      <c r="I976" s="46"/>
      <c r="J976" s="45"/>
      <c r="K976" s="47"/>
      <c r="L976" s="47"/>
      <c r="M976" s="47"/>
      <c r="N976" s="45"/>
    </row>
    <row r="977" customFormat="false" ht="18" hidden="false" customHeight="true" outlineLevel="0" collapsed="false">
      <c r="A977" s="44" t="str">
        <f aca="false">IF(B977="","",ROW()-4)</f>
        <v/>
      </c>
      <c r="B977" s="45"/>
      <c r="C977" s="46"/>
      <c r="D977" s="46"/>
      <c r="E977" s="47"/>
      <c r="F977" s="44" t="str">
        <f aca="true">IF(OR(B977="",E977="",C977="Done",C977="Cancelled"),"",E977-TODAY())</f>
        <v/>
      </c>
      <c r="G977" s="48" t="str">
        <f aca="true">IF(OR(B977="",C977="Done",C977="Cancelled"),"",IF(AND(E977&lt;&gt;"",E977&lt;TODAY()),"OVERDUE",IF(AND(E977&lt;&gt;"",E977=TODAY()),"DUE TODAY",IF(AND(K977&lt;&gt;"",K977&lt;=TODAY()),"FOLLOW UP",IF(AND(E977&lt;&gt;"",E977&lt;=TODAY()+3),"DUE SOON",IF(E977="","NO DUE DATE",""))))))</f>
        <v/>
      </c>
      <c r="H977" s="45"/>
      <c r="I977" s="46"/>
      <c r="J977" s="45"/>
      <c r="K977" s="47"/>
      <c r="L977" s="47"/>
      <c r="M977" s="47"/>
      <c r="N977" s="45"/>
    </row>
    <row r="978" customFormat="false" ht="18" hidden="false" customHeight="true" outlineLevel="0" collapsed="false">
      <c r="A978" s="44" t="str">
        <f aca="false">IF(B978="","",ROW()-4)</f>
        <v/>
      </c>
      <c r="B978" s="45"/>
      <c r="C978" s="46"/>
      <c r="D978" s="46"/>
      <c r="E978" s="47"/>
      <c r="F978" s="44" t="str">
        <f aca="true">IF(OR(B978="",E978="",C978="Done",C978="Cancelled"),"",E978-TODAY())</f>
        <v/>
      </c>
      <c r="G978" s="48" t="str">
        <f aca="true">IF(OR(B978="",C978="Done",C978="Cancelled"),"",IF(AND(E978&lt;&gt;"",E978&lt;TODAY()),"OVERDUE",IF(AND(E978&lt;&gt;"",E978=TODAY()),"DUE TODAY",IF(AND(K978&lt;&gt;"",K978&lt;=TODAY()),"FOLLOW UP",IF(AND(E978&lt;&gt;"",E978&lt;=TODAY()+3),"DUE SOON",IF(E978="","NO DUE DATE",""))))))</f>
        <v/>
      </c>
      <c r="H978" s="45"/>
      <c r="I978" s="46"/>
      <c r="J978" s="45"/>
      <c r="K978" s="47"/>
      <c r="L978" s="47"/>
      <c r="M978" s="47"/>
      <c r="N978" s="45"/>
    </row>
    <row r="979" customFormat="false" ht="18" hidden="false" customHeight="true" outlineLevel="0" collapsed="false">
      <c r="A979" s="44" t="str">
        <f aca="false">IF(B979="","",ROW()-4)</f>
        <v/>
      </c>
      <c r="B979" s="45"/>
      <c r="C979" s="46"/>
      <c r="D979" s="46"/>
      <c r="E979" s="47"/>
      <c r="F979" s="44" t="str">
        <f aca="true">IF(OR(B979="",E979="",C979="Done",C979="Cancelled"),"",E979-TODAY())</f>
        <v/>
      </c>
      <c r="G979" s="48" t="str">
        <f aca="true">IF(OR(B979="",C979="Done",C979="Cancelled"),"",IF(AND(E979&lt;&gt;"",E979&lt;TODAY()),"OVERDUE",IF(AND(E979&lt;&gt;"",E979=TODAY()),"DUE TODAY",IF(AND(K979&lt;&gt;"",K979&lt;=TODAY()),"FOLLOW UP",IF(AND(E979&lt;&gt;"",E979&lt;=TODAY()+3),"DUE SOON",IF(E979="","NO DUE DATE",""))))))</f>
        <v/>
      </c>
      <c r="H979" s="45"/>
      <c r="I979" s="46"/>
      <c r="J979" s="45"/>
      <c r="K979" s="47"/>
      <c r="L979" s="47"/>
      <c r="M979" s="47"/>
      <c r="N979" s="45"/>
    </row>
    <row r="980" customFormat="false" ht="18" hidden="false" customHeight="true" outlineLevel="0" collapsed="false">
      <c r="A980" s="44" t="str">
        <f aca="false">IF(B980="","",ROW()-4)</f>
        <v/>
      </c>
      <c r="B980" s="45"/>
      <c r="C980" s="46"/>
      <c r="D980" s="46"/>
      <c r="E980" s="47"/>
      <c r="F980" s="44" t="str">
        <f aca="true">IF(OR(B980="",E980="",C980="Done",C980="Cancelled"),"",E980-TODAY())</f>
        <v/>
      </c>
      <c r="G980" s="48" t="str">
        <f aca="true">IF(OR(B980="",C980="Done",C980="Cancelled"),"",IF(AND(E980&lt;&gt;"",E980&lt;TODAY()),"OVERDUE",IF(AND(E980&lt;&gt;"",E980=TODAY()),"DUE TODAY",IF(AND(K980&lt;&gt;"",K980&lt;=TODAY()),"FOLLOW UP",IF(AND(E980&lt;&gt;"",E980&lt;=TODAY()+3),"DUE SOON",IF(E980="","NO DUE DATE",""))))))</f>
        <v/>
      </c>
      <c r="H980" s="45"/>
      <c r="I980" s="46"/>
      <c r="J980" s="45"/>
      <c r="K980" s="47"/>
      <c r="L980" s="47"/>
      <c r="M980" s="47"/>
      <c r="N980" s="45"/>
    </row>
    <row r="981" customFormat="false" ht="18" hidden="false" customHeight="true" outlineLevel="0" collapsed="false">
      <c r="A981" s="44" t="str">
        <f aca="false">IF(B981="","",ROW()-4)</f>
        <v/>
      </c>
      <c r="B981" s="45"/>
      <c r="C981" s="46"/>
      <c r="D981" s="46"/>
      <c r="E981" s="47"/>
      <c r="F981" s="44" t="str">
        <f aca="true">IF(OR(B981="",E981="",C981="Done",C981="Cancelled"),"",E981-TODAY())</f>
        <v/>
      </c>
      <c r="G981" s="48" t="str">
        <f aca="true">IF(OR(B981="",C981="Done",C981="Cancelled"),"",IF(AND(E981&lt;&gt;"",E981&lt;TODAY()),"OVERDUE",IF(AND(E981&lt;&gt;"",E981=TODAY()),"DUE TODAY",IF(AND(K981&lt;&gt;"",K981&lt;=TODAY()),"FOLLOW UP",IF(AND(E981&lt;&gt;"",E981&lt;=TODAY()+3),"DUE SOON",IF(E981="","NO DUE DATE",""))))))</f>
        <v/>
      </c>
      <c r="H981" s="45"/>
      <c r="I981" s="46"/>
      <c r="J981" s="45"/>
      <c r="K981" s="47"/>
      <c r="L981" s="47"/>
      <c r="M981" s="47"/>
      <c r="N981" s="45"/>
    </row>
    <row r="982" customFormat="false" ht="18" hidden="false" customHeight="true" outlineLevel="0" collapsed="false">
      <c r="A982" s="44" t="str">
        <f aca="false">IF(B982="","",ROW()-4)</f>
        <v/>
      </c>
      <c r="B982" s="45"/>
      <c r="C982" s="46"/>
      <c r="D982" s="46"/>
      <c r="E982" s="47"/>
      <c r="F982" s="44" t="str">
        <f aca="true">IF(OR(B982="",E982="",C982="Done",C982="Cancelled"),"",E982-TODAY())</f>
        <v/>
      </c>
      <c r="G982" s="48" t="str">
        <f aca="true">IF(OR(B982="",C982="Done",C982="Cancelled"),"",IF(AND(E982&lt;&gt;"",E982&lt;TODAY()),"OVERDUE",IF(AND(E982&lt;&gt;"",E982=TODAY()),"DUE TODAY",IF(AND(K982&lt;&gt;"",K982&lt;=TODAY()),"FOLLOW UP",IF(AND(E982&lt;&gt;"",E982&lt;=TODAY()+3),"DUE SOON",IF(E982="","NO DUE DATE",""))))))</f>
        <v/>
      </c>
      <c r="H982" s="45"/>
      <c r="I982" s="46"/>
      <c r="J982" s="45"/>
      <c r="K982" s="47"/>
      <c r="L982" s="47"/>
      <c r="M982" s="47"/>
      <c r="N982" s="45"/>
    </row>
    <row r="983" customFormat="false" ht="18" hidden="false" customHeight="true" outlineLevel="0" collapsed="false">
      <c r="A983" s="44" t="str">
        <f aca="false">IF(B983="","",ROW()-4)</f>
        <v/>
      </c>
      <c r="B983" s="45"/>
      <c r="C983" s="46"/>
      <c r="D983" s="46"/>
      <c r="E983" s="47"/>
      <c r="F983" s="44" t="str">
        <f aca="true">IF(OR(B983="",E983="",C983="Done",C983="Cancelled"),"",E983-TODAY())</f>
        <v/>
      </c>
      <c r="G983" s="48" t="str">
        <f aca="true">IF(OR(B983="",C983="Done",C983="Cancelled"),"",IF(AND(E983&lt;&gt;"",E983&lt;TODAY()),"OVERDUE",IF(AND(E983&lt;&gt;"",E983=TODAY()),"DUE TODAY",IF(AND(K983&lt;&gt;"",K983&lt;=TODAY()),"FOLLOW UP",IF(AND(E983&lt;&gt;"",E983&lt;=TODAY()+3),"DUE SOON",IF(E983="","NO DUE DATE",""))))))</f>
        <v/>
      </c>
      <c r="H983" s="45"/>
      <c r="I983" s="46"/>
      <c r="J983" s="45"/>
      <c r="K983" s="47"/>
      <c r="L983" s="47"/>
      <c r="M983" s="47"/>
      <c r="N983" s="45"/>
    </row>
    <row r="984" customFormat="false" ht="18" hidden="false" customHeight="true" outlineLevel="0" collapsed="false">
      <c r="A984" s="44" t="str">
        <f aca="false">IF(B984="","",ROW()-4)</f>
        <v/>
      </c>
      <c r="B984" s="45"/>
      <c r="C984" s="46"/>
      <c r="D984" s="46"/>
      <c r="E984" s="47"/>
      <c r="F984" s="44" t="str">
        <f aca="true">IF(OR(B984="",E984="",C984="Done",C984="Cancelled"),"",E984-TODAY())</f>
        <v/>
      </c>
      <c r="G984" s="48" t="str">
        <f aca="true">IF(OR(B984="",C984="Done",C984="Cancelled"),"",IF(AND(E984&lt;&gt;"",E984&lt;TODAY()),"OVERDUE",IF(AND(E984&lt;&gt;"",E984=TODAY()),"DUE TODAY",IF(AND(K984&lt;&gt;"",K984&lt;=TODAY()),"FOLLOW UP",IF(AND(E984&lt;&gt;"",E984&lt;=TODAY()+3),"DUE SOON",IF(E984="","NO DUE DATE",""))))))</f>
        <v/>
      </c>
      <c r="H984" s="45"/>
      <c r="I984" s="46"/>
      <c r="J984" s="45"/>
      <c r="K984" s="47"/>
      <c r="L984" s="47"/>
      <c r="M984" s="47"/>
      <c r="N984" s="45"/>
    </row>
    <row r="985" customFormat="false" ht="18" hidden="false" customHeight="true" outlineLevel="0" collapsed="false">
      <c r="A985" s="44" t="str">
        <f aca="false">IF(B985="","",ROW()-4)</f>
        <v/>
      </c>
      <c r="B985" s="45"/>
      <c r="C985" s="46"/>
      <c r="D985" s="46"/>
      <c r="E985" s="47"/>
      <c r="F985" s="44" t="str">
        <f aca="true">IF(OR(B985="",E985="",C985="Done",C985="Cancelled"),"",E985-TODAY())</f>
        <v/>
      </c>
      <c r="G985" s="48" t="str">
        <f aca="true">IF(OR(B985="",C985="Done",C985="Cancelled"),"",IF(AND(E985&lt;&gt;"",E985&lt;TODAY()),"OVERDUE",IF(AND(E985&lt;&gt;"",E985=TODAY()),"DUE TODAY",IF(AND(K985&lt;&gt;"",K985&lt;=TODAY()),"FOLLOW UP",IF(AND(E985&lt;&gt;"",E985&lt;=TODAY()+3),"DUE SOON",IF(E985="","NO DUE DATE",""))))))</f>
        <v/>
      </c>
      <c r="H985" s="45"/>
      <c r="I985" s="46"/>
      <c r="J985" s="45"/>
      <c r="K985" s="47"/>
      <c r="L985" s="47"/>
      <c r="M985" s="47"/>
      <c r="N985" s="45"/>
    </row>
    <row r="986" customFormat="false" ht="18" hidden="false" customHeight="true" outlineLevel="0" collapsed="false">
      <c r="A986" s="44" t="str">
        <f aca="false">IF(B986="","",ROW()-4)</f>
        <v/>
      </c>
      <c r="B986" s="45"/>
      <c r="C986" s="46"/>
      <c r="D986" s="46"/>
      <c r="E986" s="47"/>
      <c r="F986" s="44" t="str">
        <f aca="true">IF(OR(B986="",E986="",C986="Done",C986="Cancelled"),"",E986-TODAY())</f>
        <v/>
      </c>
      <c r="G986" s="48" t="str">
        <f aca="true">IF(OR(B986="",C986="Done",C986="Cancelled"),"",IF(AND(E986&lt;&gt;"",E986&lt;TODAY()),"OVERDUE",IF(AND(E986&lt;&gt;"",E986=TODAY()),"DUE TODAY",IF(AND(K986&lt;&gt;"",K986&lt;=TODAY()),"FOLLOW UP",IF(AND(E986&lt;&gt;"",E986&lt;=TODAY()+3),"DUE SOON",IF(E986="","NO DUE DATE",""))))))</f>
        <v/>
      </c>
      <c r="H986" s="45"/>
      <c r="I986" s="46"/>
      <c r="J986" s="45"/>
      <c r="K986" s="47"/>
      <c r="L986" s="47"/>
      <c r="M986" s="47"/>
      <c r="N986" s="45"/>
    </row>
    <row r="987" customFormat="false" ht="18" hidden="false" customHeight="true" outlineLevel="0" collapsed="false">
      <c r="A987" s="44" t="str">
        <f aca="false">IF(B987="","",ROW()-4)</f>
        <v/>
      </c>
      <c r="B987" s="45"/>
      <c r="C987" s="46"/>
      <c r="D987" s="46"/>
      <c r="E987" s="47"/>
      <c r="F987" s="44" t="str">
        <f aca="true">IF(OR(B987="",E987="",C987="Done",C987="Cancelled"),"",E987-TODAY())</f>
        <v/>
      </c>
      <c r="G987" s="48" t="str">
        <f aca="true">IF(OR(B987="",C987="Done",C987="Cancelled"),"",IF(AND(E987&lt;&gt;"",E987&lt;TODAY()),"OVERDUE",IF(AND(E987&lt;&gt;"",E987=TODAY()),"DUE TODAY",IF(AND(K987&lt;&gt;"",K987&lt;=TODAY()),"FOLLOW UP",IF(AND(E987&lt;&gt;"",E987&lt;=TODAY()+3),"DUE SOON",IF(E987="","NO DUE DATE",""))))))</f>
        <v/>
      </c>
      <c r="H987" s="45"/>
      <c r="I987" s="46"/>
      <c r="J987" s="45"/>
      <c r="K987" s="47"/>
      <c r="L987" s="47"/>
      <c r="M987" s="47"/>
      <c r="N987" s="45"/>
    </row>
    <row r="988" customFormat="false" ht="18" hidden="false" customHeight="true" outlineLevel="0" collapsed="false">
      <c r="A988" s="44" t="str">
        <f aca="false">IF(B988="","",ROW()-4)</f>
        <v/>
      </c>
      <c r="B988" s="45"/>
      <c r="C988" s="46"/>
      <c r="D988" s="46"/>
      <c r="E988" s="47"/>
      <c r="F988" s="44" t="str">
        <f aca="true">IF(OR(B988="",E988="",C988="Done",C988="Cancelled"),"",E988-TODAY())</f>
        <v/>
      </c>
      <c r="G988" s="48" t="str">
        <f aca="true">IF(OR(B988="",C988="Done",C988="Cancelled"),"",IF(AND(E988&lt;&gt;"",E988&lt;TODAY()),"OVERDUE",IF(AND(E988&lt;&gt;"",E988=TODAY()),"DUE TODAY",IF(AND(K988&lt;&gt;"",K988&lt;=TODAY()),"FOLLOW UP",IF(AND(E988&lt;&gt;"",E988&lt;=TODAY()+3),"DUE SOON",IF(E988="","NO DUE DATE",""))))))</f>
        <v/>
      </c>
      <c r="H988" s="45"/>
      <c r="I988" s="46"/>
      <c r="J988" s="45"/>
      <c r="K988" s="47"/>
      <c r="L988" s="47"/>
      <c r="M988" s="47"/>
      <c r="N988" s="45"/>
    </row>
    <row r="989" customFormat="false" ht="18" hidden="false" customHeight="true" outlineLevel="0" collapsed="false">
      <c r="A989" s="44" t="str">
        <f aca="false">IF(B989="","",ROW()-4)</f>
        <v/>
      </c>
      <c r="B989" s="45"/>
      <c r="C989" s="46"/>
      <c r="D989" s="46"/>
      <c r="E989" s="47"/>
      <c r="F989" s="44" t="str">
        <f aca="true">IF(OR(B989="",E989="",C989="Done",C989="Cancelled"),"",E989-TODAY())</f>
        <v/>
      </c>
      <c r="G989" s="48" t="str">
        <f aca="true">IF(OR(B989="",C989="Done",C989="Cancelled"),"",IF(AND(E989&lt;&gt;"",E989&lt;TODAY()),"OVERDUE",IF(AND(E989&lt;&gt;"",E989=TODAY()),"DUE TODAY",IF(AND(K989&lt;&gt;"",K989&lt;=TODAY()),"FOLLOW UP",IF(AND(E989&lt;&gt;"",E989&lt;=TODAY()+3),"DUE SOON",IF(E989="","NO DUE DATE",""))))))</f>
        <v/>
      </c>
      <c r="H989" s="45"/>
      <c r="I989" s="46"/>
      <c r="J989" s="45"/>
      <c r="K989" s="47"/>
      <c r="L989" s="47"/>
      <c r="M989" s="47"/>
      <c r="N989" s="45"/>
    </row>
    <row r="990" customFormat="false" ht="18" hidden="false" customHeight="true" outlineLevel="0" collapsed="false">
      <c r="A990" s="44" t="str">
        <f aca="false">IF(B990="","",ROW()-4)</f>
        <v/>
      </c>
      <c r="B990" s="45"/>
      <c r="C990" s="46"/>
      <c r="D990" s="46"/>
      <c r="E990" s="47"/>
      <c r="F990" s="44" t="str">
        <f aca="true">IF(OR(B990="",E990="",C990="Done",C990="Cancelled"),"",E990-TODAY())</f>
        <v/>
      </c>
      <c r="G990" s="48" t="str">
        <f aca="true">IF(OR(B990="",C990="Done",C990="Cancelled"),"",IF(AND(E990&lt;&gt;"",E990&lt;TODAY()),"OVERDUE",IF(AND(E990&lt;&gt;"",E990=TODAY()),"DUE TODAY",IF(AND(K990&lt;&gt;"",K990&lt;=TODAY()),"FOLLOW UP",IF(AND(E990&lt;&gt;"",E990&lt;=TODAY()+3),"DUE SOON",IF(E990="","NO DUE DATE",""))))))</f>
        <v/>
      </c>
      <c r="H990" s="45"/>
      <c r="I990" s="46"/>
      <c r="J990" s="45"/>
      <c r="K990" s="47"/>
      <c r="L990" s="47"/>
      <c r="M990" s="47"/>
      <c r="N990" s="45"/>
    </row>
    <row r="991" customFormat="false" ht="18" hidden="false" customHeight="true" outlineLevel="0" collapsed="false">
      <c r="A991" s="44" t="str">
        <f aca="false">IF(B991="","",ROW()-4)</f>
        <v/>
      </c>
      <c r="B991" s="45"/>
      <c r="C991" s="46"/>
      <c r="D991" s="46"/>
      <c r="E991" s="47"/>
      <c r="F991" s="44" t="str">
        <f aca="true">IF(OR(B991="",E991="",C991="Done",C991="Cancelled"),"",E991-TODAY())</f>
        <v/>
      </c>
      <c r="G991" s="48" t="str">
        <f aca="true">IF(OR(B991="",C991="Done",C991="Cancelled"),"",IF(AND(E991&lt;&gt;"",E991&lt;TODAY()),"OVERDUE",IF(AND(E991&lt;&gt;"",E991=TODAY()),"DUE TODAY",IF(AND(K991&lt;&gt;"",K991&lt;=TODAY()),"FOLLOW UP",IF(AND(E991&lt;&gt;"",E991&lt;=TODAY()+3),"DUE SOON",IF(E991="","NO DUE DATE",""))))))</f>
        <v/>
      </c>
      <c r="H991" s="45"/>
      <c r="I991" s="46"/>
      <c r="J991" s="45"/>
      <c r="K991" s="47"/>
      <c r="L991" s="47"/>
      <c r="M991" s="47"/>
      <c r="N991" s="45"/>
    </row>
    <row r="992" customFormat="false" ht="18" hidden="false" customHeight="true" outlineLevel="0" collapsed="false">
      <c r="A992" s="44" t="str">
        <f aca="false">IF(B992="","",ROW()-4)</f>
        <v/>
      </c>
      <c r="B992" s="45"/>
      <c r="C992" s="46"/>
      <c r="D992" s="46"/>
      <c r="E992" s="47"/>
      <c r="F992" s="44" t="str">
        <f aca="true">IF(OR(B992="",E992="",C992="Done",C992="Cancelled"),"",E992-TODAY())</f>
        <v/>
      </c>
      <c r="G992" s="48" t="str">
        <f aca="true">IF(OR(B992="",C992="Done",C992="Cancelled"),"",IF(AND(E992&lt;&gt;"",E992&lt;TODAY()),"OVERDUE",IF(AND(E992&lt;&gt;"",E992=TODAY()),"DUE TODAY",IF(AND(K992&lt;&gt;"",K992&lt;=TODAY()),"FOLLOW UP",IF(AND(E992&lt;&gt;"",E992&lt;=TODAY()+3),"DUE SOON",IF(E992="","NO DUE DATE",""))))))</f>
        <v/>
      </c>
      <c r="H992" s="45"/>
      <c r="I992" s="46"/>
      <c r="J992" s="45"/>
      <c r="K992" s="47"/>
      <c r="L992" s="47"/>
      <c r="M992" s="47"/>
      <c r="N992" s="45"/>
    </row>
    <row r="993" customFormat="false" ht="18" hidden="false" customHeight="true" outlineLevel="0" collapsed="false">
      <c r="A993" s="44" t="str">
        <f aca="false">IF(B993="","",ROW()-4)</f>
        <v/>
      </c>
      <c r="B993" s="45"/>
      <c r="C993" s="46"/>
      <c r="D993" s="46"/>
      <c r="E993" s="47"/>
      <c r="F993" s="44" t="str">
        <f aca="true">IF(OR(B993="",E993="",C993="Done",C993="Cancelled"),"",E993-TODAY())</f>
        <v/>
      </c>
      <c r="G993" s="48" t="str">
        <f aca="true">IF(OR(B993="",C993="Done",C993="Cancelled"),"",IF(AND(E993&lt;&gt;"",E993&lt;TODAY()),"OVERDUE",IF(AND(E993&lt;&gt;"",E993=TODAY()),"DUE TODAY",IF(AND(K993&lt;&gt;"",K993&lt;=TODAY()),"FOLLOW UP",IF(AND(E993&lt;&gt;"",E993&lt;=TODAY()+3),"DUE SOON",IF(E993="","NO DUE DATE",""))))))</f>
        <v/>
      </c>
      <c r="H993" s="45"/>
      <c r="I993" s="46"/>
      <c r="J993" s="45"/>
      <c r="K993" s="47"/>
      <c r="L993" s="47"/>
      <c r="M993" s="47"/>
      <c r="N993" s="45"/>
    </row>
    <row r="994" customFormat="false" ht="18" hidden="false" customHeight="true" outlineLevel="0" collapsed="false">
      <c r="A994" s="44" t="str">
        <f aca="false">IF(B994="","",ROW()-4)</f>
        <v/>
      </c>
      <c r="B994" s="45"/>
      <c r="C994" s="46"/>
      <c r="D994" s="46"/>
      <c r="E994" s="47"/>
      <c r="F994" s="44" t="str">
        <f aca="true">IF(OR(B994="",E994="",C994="Done",C994="Cancelled"),"",E994-TODAY())</f>
        <v/>
      </c>
      <c r="G994" s="48" t="str">
        <f aca="true">IF(OR(B994="",C994="Done",C994="Cancelled"),"",IF(AND(E994&lt;&gt;"",E994&lt;TODAY()),"OVERDUE",IF(AND(E994&lt;&gt;"",E994=TODAY()),"DUE TODAY",IF(AND(K994&lt;&gt;"",K994&lt;=TODAY()),"FOLLOW UP",IF(AND(E994&lt;&gt;"",E994&lt;=TODAY()+3),"DUE SOON",IF(E994="","NO DUE DATE",""))))))</f>
        <v/>
      </c>
      <c r="H994" s="45"/>
      <c r="I994" s="46"/>
      <c r="J994" s="45"/>
      <c r="K994" s="47"/>
      <c r="L994" s="47"/>
      <c r="M994" s="47"/>
      <c r="N994" s="45"/>
    </row>
    <row r="995" customFormat="false" ht="18" hidden="false" customHeight="true" outlineLevel="0" collapsed="false">
      <c r="A995" s="44" t="str">
        <f aca="false">IF(B995="","",ROW()-4)</f>
        <v/>
      </c>
      <c r="B995" s="45"/>
      <c r="C995" s="46"/>
      <c r="D995" s="46"/>
      <c r="E995" s="47"/>
      <c r="F995" s="44" t="str">
        <f aca="true">IF(OR(B995="",E995="",C995="Done",C995="Cancelled"),"",E995-TODAY())</f>
        <v/>
      </c>
      <c r="G995" s="48" t="str">
        <f aca="true">IF(OR(B995="",C995="Done",C995="Cancelled"),"",IF(AND(E995&lt;&gt;"",E995&lt;TODAY()),"OVERDUE",IF(AND(E995&lt;&gt;"",E995=TODAY()),"DUE TODAY",IF(AND(K995&lt;&gt;"",K995&lt;=TODAY()),"FOLLOW UP",IF(AND(E995&lt;&gt;"",E995&lt;=TODAY()+3),"DUE SOON",IF(E995="","NO DUE DATE",""))))))</f>
        <v/>
      </c>
      <c r="H995" s="45"/>
      <c r="I995" s="46"/>
      <c r="J995" s="45"/>
      <c r="K995" s="47"/>
      <c r="L995" s="47"/>
      <c r="M995" s="47"/>
      <c r="N995" s="45"/>
    </row>
    <row r="996" customFormat="false" ht="18" hidden="false" customHeight="true" outlineLevel="0" collapsed="false">
      <c r="A996" s="44" t="str">
        <f aca="false">IF(B996="","",ROW()-4)</f>
        <v/>
      </c>
      <c r="B996" s="45"/>
      <c r="C996" s="46"/>
      <c r="D996" s="46"/>
      <c r="E996" s="47"/>
      <c r="F996" s="44" t="str">
        <f aca="true">IF(OR(B996="",E996="",C996="Done",C996="Cancelled"),"",E996-TODAY())</f>
        <v/>
      </c>
      <c r="G996" s="48" t="str">
        <f aca="true">IF(OR(B996="",C996="Done",C996="Cancelled"),"",IF(AND(E996&lt;&gt;"",E996&lt;TODAY()),"OVERDUE",IF(AND(E996&lt;&gt;"",E996=TODAY()),"DUE TODAY",IF(AND(K996&lt;&gt;"",K996&lt;=TODAY()),"FOLLOW UP",IF(AND(E996&lt;&gt;"",E996&lt;=TODAY()+3),"DUE SOON",IF(E996="","NO DUE DATE",""))))))</f>
        <v/>
      </c>
      <c r="H996" s="45"/>
      <c r="I996" s="46"/>
      <c r="J996" s="45"/>
      <c r="K996" s="47"/>
      <c r="L996" s="47"/>
      <c r="M996" s="47"/>
      <c r="N996" s="45"/>
    </row>
    <row r="997" customFormat="false" ht="18" hidden="false" customHeight="true" outlineLevel="0" collapsed="false">
      <c r="A997" s="44" t="str">
        <f aca="false">IF(B997="","",ROW()-4)</f>
        <v/>
      </c>
      <c r="B997" s="45"/>
      <c r="C997" s="46"/>
      <c r="D997" s="46"/>
      <c r="E997" s="47"/>
      <c r="F997" s="44" t="str">
        <f aca="true">IF(OR(B997="",E997="",C997="Done",C997="Cancelled"),"",E997-TODAY())</f>
        <v/>
      </c>
      <c r="G997" s="48" t="str">
        <f aca="true">IF(OR(B997="",C997="Done",C997="Cancelled"),"",IF(AND(E997&lt;&gt;"",E997&lt;TODAY()),"OVERDUE",IF(AND(E997&lt;&gt;"",E997=TODAY()),"DUE TODAY",IF(AND(K997&lt;&gt;"",K997&lt;=TODAY()),"FOLLOW UP",IF(AND(E997&lt;&gt;"",E997&lt;=TODAY()+3),"DUE SOON",IF(E997="","NO DUE DATE",""))))))</f>
        <v/>
      </c>
      <c r="H997" s="45"/>
      <c r="I997" s="46"/>
      <c r="J997" s="45"/>
      <c r="K997" s="47"/>
      <c r="L997" s="47"/>
      <c r="M997" s="47"/>
      <c r="N997" s="45"/>
    </row>
    <row r="998" customFormat="false" ht="18" hidden="false" customHeight="true" outlineLevel="0" collapsed="false">
      <c r="A998" s="44" t="str">
        <f aca="false">IF(B998="","",ROW()-4)</f>
        <v/>
      </c>
      <c r="B998" s="45"/>
      <c r="C998" s="46"/>
      <c r="D998" s="46"/>
      <c r="E998" s="47"/>
      <c r="F998" s="44" t="str">
        <f aca="true">IF(OR(B998="",E998="",C998="Done",C998="Cancelled"),"",E998-TODAY())</f>
        <v/>
      </c>
      <c r="G998" s="48" t="str">
        <f aca="true">IF(OR(B998="",C998="Done",C998="Cancelled"),"",IF(AND(E998&lt;&gt;"",E998&lt;TODAY()),"OVERDUE",IF(AND(E998&lt;&gt;"",E998=TODAY()),"DUE TODAY",IF(AND(K998&lt;&gt;"",K998&lt;=TODAY()),"FOLLOW UP",IF(AND(E998&lt;&gt;"",E998&lt;=TODAY()+3),"DUE SOON",IF(E998="","NO DUE DATE",""))))))</f>
        <v/>
      </c>
      <c r="H998" s="45"/>
      <c r="I998" s="46"/>
      <c r="J998" s="45"/>
      <c r="K998" s="47"/>
      <c r="L998" s="47"/>
      <c r="M998" s="47"/>
      <c r="N998" s="45"/>
    </row>
    <row r="999" customFormat="false" ht="18" hidden="false" customHeight="true" outlineLevel="0" collapsed="false">
      <c r="A999" s="44" t="str">
        <f aca="false">IF(B999="","",ROW()-4)</f>
        <v/>
      </c>
      <c r="B999" s="45"/>
      <c r="C999" s="46"/>
      <c r="D999" s="46"/>
      <c r="E999" s="47"/>
      <c r="F999" s="44" t="str">
        <f aca="true">IF(OR(B999="",E999="",C999="Done",C999="Cancelled"),"",E999-TODAY())</f>
        <v/>
      </c>
      <c r="G999" s="48" t="str">
        <f aca="true">IF(OR(B999="",C999="Done",C999="Cancelled"),"",IF(AND(E999&lt;&gt;"",E999&lt;TODAY()),"OVERDUE",IF(AND(E999&lt;&gt;"",E999=TODAY()),"DUE TODAY",IF(AND(K999&lt;&gt;"",K999&lt;=TODAY()),"FOLLOW UP",IF(AND(E999&lt;&gt;"",E999&lt;=TODAY()+3),"DUE SOON",IF(E999="","NO DUE DATE",""))))))</f>
        <v/>
      </c>
      <c r="H999" s="45"/>
      <c r="I999" s="46"/>
      <c r="J999" s="45"/>
      <c r="K999" s="47"/>
      <c r="L999" s="47"/>
      <c r="M999" s="47"/>
      <c r="N999" s="45"/>
    </row>
    <row r="1000" customFormat="false" ht="18" hidden="false" customHeight="true" outlineLevel="0" collapsed="false">
      <c r="A1000" s="44" t="str">
        <f aca="false">IF(B1000="","",ROW()-4)</f>
        <v/>
      </c>
      <c r="B1000" s="45"/>
      <c r="C1000" s="46"/>
      <c r="D1000" s="46"/>
      <c r="E1000" s="47"/>
      <c r="F1000" s="44" t="str">
        <f aca="true">IF(OR(B1000="",E1000="",C1000="Done",C1000="Cancelled"),"",E1000-TODAY())</f>
        <v/>
      </c>
      <c r="G1000" s="48" t="str">
        <f aca="true">IF(OR(B1000="",C1000="Done",C1000="Cancelled"),"",IF(AND(E1000&lt;&gt;"",E1000&lt;TODAY()),"OVERDUE",IF(AND(E1000&lt;&gt;"",E1000=TODAY()),"DUE TODAY",IF(AND(K1000&lt;&gt;"",K1000&lt;=TODAY()),"FOLLOW UP",IF(AND(E1000&lt;&gt;"",E1000&lt;=TODAY()+3),"DUE SOON",IF(E1000="","NO DUE DATE",""))))))</f>
        <v/>
      </c>
      <c r="H1000" s="45"/>
      <c r="I1000" s="46"/>
      <c r="J1000" s="45"/>
      <c r="K1000" s="47"/>
      <c r="L1000" s="47"/>
      <c r="M1000" s="47"/>
      <c r="N1000" s="45"/>
    </row>
    <row r="1001" customFormat="false" ht="18" hidden="false" customHeight="true" outlineLevel="0" collapsed="false">
      <c r="A1001" s="44" t="str">
        <f aca="false">IF(B1001="","",ROW()-4)</f>
        <v/>
      </c>
      <c r="B1001" s="45"/>
      <c r="C1001" s="46"/>
      <c r="D1001" s="46"/>
      <c r="E1001" s="47"/>
      <c r="F1001" s="44" t="str">
        <f aca="true">IF(OR(B1001="",E1001="",C1001="Done",C1001="Cancelled"),"",E1001-TODAY())</f>
        <v/>
      </c>
      <c r="G1001" s="48" t="str">
        <f aca="true">IF(OR(B1001="",C1001="Done",C1001="Cancelled"),"",IF(AND(E1001&lt;&gt;"",E1001&lt;TODAY()),"OVERDUE",IF(AND(E1001&lt;&gt;"",E1001=TODAY()),"DUE TODAY",IF(AND(K1001&lt;&gt;"",K1001&lt;=TODAY()),"FOLLOW UP",IF(AND(E1001&lt;&gt;"",E1001&lt;=TODAY()+3),"DUE SOON",IF(E1001="","NO DUE DATE",""))))))</f>
        <v/>
      </c>
      <c r="H1001" s="45"/>
      <c r="I1001" s="46"/>
      <c r="J1001" s="45"/>
      <c r="K1001" s="47"/>
      <c r="L1001" s="47"/>
      <c r="M1001" s="47"/>
      <c r="N1001" s="45"/>
    </row>
    <row r="1002" customFormat="false" ht="18" hidden="false" customHeight="true" outlineLevel="0" collapsed="false">
      <c r="A1002" s="44" t="str">
        <f aca="false">IF(B1002="","",ROW()-4)</f>
        <v/>
      </c>
      <c r="B1002" s="45"/>
      <c r="C1002" s="46"/>
      <c r="D1002" s="46"/>
      <c r="E1002" s="47"/>
      <c r="F1002" s="44" t="str">
        <f aca="true">IF(OR(B1002="",E1002="",C1002="Done",C1002="Cancelled"),"",E1002-TODAY())</f>
        <v/>
      </c>
      <c r="G1002" s="48" t="str">
        <f aca="true">IF(OR(B1002="",C1002="Done",C1002="Cancelled"),"",IF(AND(E1002&lt;&gt;"",E1002&lt;TODAY()),"OVERDUE",IF(AND(E1002&lt;&gt;"",E1002=TODAY()),"DUE TODAY",IF(AND(K1002&lt;&gt;"",K1002&lt;=TODAY()),"FOLLOW UP",IF(AND(E1002&lt;&gt;"",E1002&lt;=TODAY()+3),"DUE SOON",IF(E1002="","NO DUE DATE",""))))))</f>
        <v/>
      </c>
      <c r="H1002" s="45"/>
      <c r="I1002" s="46"/>
      <c r="J1002" s="45"/>
      <c r="K1002" s="47"/>
      <c r="L1002" s="47"/>
      <c r="M1002" s="47"/>
      <c r="N1002" s="45"/>
    </row>
    <row r="1003" customFormat="false" ht="18" hidden="false" customHeight="true" outlineLevel="0" collapsed="false">
      <c r="A1003" s="44" t="str">
        <f aca="false">IF(B1003="","",ROW()-4)</f>
        <v/>
      </c>
      <c r="B1003" s="45"/>
      <c r="C1003" s="46"/>
      <c r="D1003" s="46"/>
      <c r="E1003" s="47"/>
      <c r="F1003" s="44" t="str">
        <f aca="true">IF(OR(B1003="",E1003="",C1003="Done",C1003="Cancelled"),"",E1003-TODAY())</f>
        <v/>
      </c>
      <c r="G1003" s="48" t="str">
        <f aca="true">IF(OR(B1003="",C1003="Done",C1003="Cancelled"),"",IF(AND(E1003&lt;&gt;"",E1003&lt;TODAY()),"OVERDUE",IF(AND(E1003&lt;&gt;"",E1003=TODAY()),"DUE TODAY",IF(AND(K1003&lt;&gt;"",K1003&lt;=TODAY()),"FOLLOW UP",IF(AND(E1003&lt;&gt;"",E1003&lt;=TODAY()+3),"DUE SOON",IF(E1003="","NO DUE DATE",""))))))</f>
        <v/>
      </c>
      <c r="H1003" s="45"/>
      <c r="I1003" s="46"/>
      <c r="J1003" s="45"/>
      <c r="K1003" s="47"/>
      <c r="L1003" s="47"/>
      <c r="M1003" s="47"/>
      <c r="N1003" s="45"/>
    </row>
    <row r="1004" customFormat="false" ht="18" hidden="false" customHeight="true" outlineLevel="0" collapsed="false">
      <c r="A1004" s="44" t="str">
        <f aca="false">IF(B1004="","",ROW()-4)</f>
        <v/>
      </c>
      <c r="B1004" s="45"/>
      <c r="C1004" s="46"/>
      <c r="D1004" s="46"/>
      <c r="E1004" s="47"/>
      <c r="F1004" s="44" t="str">
        <f aca="true">IF(OR(B1004="",E1004="",C1004="Done",C1004="Cancelled"),"",E1004-TODAY())</f>
        <v/>
      </c>
      <c r="G1004" s="48" t="str">
        <f aca="true">IF(OR(B1004="",C1004="Done",C1004="Cancelled"),"",IF(AND(E1004&lt;&gt;"",E1004&lt;TODAY()),"OVERDUE",IF(AND(E1004&lt;&gt;"",E1004=TODAY()),"DUE TODAY",IF(AND(K1004&lt;&gt;"",K1004&lt;=TODAY()),"FOLLOW UP",IF(AND(E1004&lt;&gt;"",E1004&lt;=TODAY()+3),"DUE SOON",IF(E1004="","NO DUE DATE",""))))))</f>
        <v/>
      </c>
      <c r="H1004" s="45"/>
      <c r="I1004" s="46"/>
      <c r="J1004" s="45"/>
      <c r="K1004" s="47"/>
      <c r="L1004" s="47"/>
      <c r="M1004" s="47"/>
      <c r="N1004" s="45"/>
    </row>
  </sheetData>
  <conditionalFormatting sqref="A5:N1004">
    <cfRule type="expression" priority="2" aboveAverage="0" equalAverage="0" bottom="0" percent="0" rank="0" text="" dxfId="11">
      <formula>$C5="Done"</formula>
    </cfRule>
    <cfRule type="expression" priority="3" aboveAverage="0" equalAverage="0" bottom="0" percent="0" rank="0" text="" dxfId="12">
      <formula>$C5="Cancelled"</formula>
    </cfRule>
    <cfRule type="expression" priority="4" aboveAverage="0" equalAverage="0" bottom="0" percent="0" rank="0" text="" dxfId="13">
      <formula>$C5="Blocked"</formula>
    </cfRule>
    <cfRule type="expression" priority="5" aboveAverage="0" equalAverage="0" bottom="0" percent="0" rank="0" text="" dxfId="14">
      <formula>$C5="Postponed"</formula>
    </cfRule>
    <cfRule type="expression" priority="6" aboveAverage="0" equalAverage="0" bottom="0" percent="0" rank="0" text="" dxfId="15">
      <formula>$C5="Waiting"</formula>
    </cfRule>
    <cfRule type="expression" priority="7" aboveAverage="0" equalAverage="0" bottom="0" percent="0" rank="0" text="" dxfId="16">
      <formula>$C5="In Progress"</formula>
    </cfRule>
  </conditionalFormatting>
  <conditionalFormatting sqref="G5:G1004">
    <cfRule type="expression" priority="8" aboveAverage="0" equalAverage="0" bottom="0" percent="0" rank="0" text="" dxfId="17">
      <formula>$G5="OVERDUE"</formula>
    </cfRule>
    <cfRule type="expression" priority="9" aboveAverage="0" equalAverage="0" bottom="0" percent="0" rank="0" text="" dxfId="18">
      <formula>OR($G5="DUE TODAY",$G5="DUE SOON",$G5="FOLLOW UP")</formula>
    </cfRule>
    <cfRule type="expression" priority="10" aboveAverage="0" equalAverage="0" bottom="0" percent="0" rank="0" text="" dxfId="19">
      <formula>$G5="NO DUE DATE"</formula>
    </cfRule>
  </conditionalFormatting>
  <conditionalFormatting sqref="D5:D1004">
    <cfRule type="expression" priority="11" aboveAverage="0" equalAverage="0" bottom="0" percent="0" rank="0" text="" dxfId="17">
      <formula>LEFT($D5,2)="P1"</formula>
    </cfRule>
  </conditionalFormatting>
  <conditionalFormatting sqref="K5:K1004">
    <cfRule type="expression" priority="12" aboveAverage="0" equalAverage="0" bottom="0" percent="0" rank="0" text="" dxfId="17">
      <formula>AND($K5&lt;&gt;"",$K5&lt;=TODAY(),$C5&lt;&gt;"Done",$C5&lt;&gt;"Cancelled")</formula>
    </cfRule>
  </conditionalFormatting>
  <dataValidations count="4">
    <dataValidation allowBlank="true" error="Pick a value from the list (edit the Lists sheet to add more)." errorStyle="stop" errorTitle="Invalid entry" operator="between" showDropDown="false" showErrorMessage="false" showInputMessage="false" sqref="C5:C1004" type="list">
      <formula1>Lists!$B$5:$B$11</formula1>
      <formula2>0</formula2>
    </dataValidation>
    <dataValidation allowBlank="true" error="Pick a value from the list (edit the Lists sheet to add more)." errorStyle="stop" errorTitle="Invalid entry" operator="between" showDropDown="false" showErrorMessage="false" showInputMessage="false" sqref="D5:D1004" type="list">
      <formula1>Lists!$C$5:$C$8</formula1>
      <formula2>0</formula2>
    </dataValidation>
    <dataValidation allowBlank="true" error="Pick a value from the list (edit the Lists sheet to add more)." errorStyle="stop" errorTitle="Invalid entry" operator="between" showDropDown="false" showErrorMessage="false" showInputMessage="false" sqref="I5:I1004" type="list">
      <formula1>Lists!$A$5:$A$34</formula1>
      <formula2>0</formula2>
    </dataValidation>
    <dataValidation allowBlank="true" error="Enter a valid date." errorStyle="stop" errorTitle="Invalid date" operator="greaterThan" showDropDown="false" showErrorMessage="false" showInputMessage="false" sqref="E5:E1004 K5:M1004" type="date">
      <formula1>DATE(2000,1,1)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J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5" min="4" style="0" width="10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44"/>
    <col collapsed="false" customWidth="true" hidden="false" outlineLevel="0" max="10" min="10" style="0" width="32"/>
  </cols>
  <sheetData>
    <row r="1" customFormat="false" ht="25.5" hidden="false" customHeight="tru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30" hidden="false" customHeight="true" outlineLevel="0" collapsed="false">
      <c r="A4" s="6" t="s">
        <v>48</v>
      </c>
      <c r="B4" s="6" t="s">
        <v>90</v>
      </c>
      <c r="C4" s="6" t="s">
        <v>50</v>
      </c>
      <c r="D4" s="6" t="s">
        <v>91</v>
      </c>
      <c r="E4" s="6" t="s">
        <v>92</v>
      </c>
      <c r="F4" s="6" t="s">
        <v>56</v>
      </c>
      <c r="G4" s="6" t="s">
        <v>93</v>
      </c>
      <c r="H4" s="6" t="s">
        <v>94</v>
      </c>
      <c r="I4" s="6" t="s">
        <v>95</v>
      </c>
      <c r="J4" s="6" t="s">
        <v>96</v>
      </c>
    </row>
    <row r="5" customFormat="false" ht="18" hidden="false" customHeight="true" outlineLevel="0" collapsed="false">
      <c r="A5" s="44" t="n">
        <f aca="false">IF(B5="","",ROW()-4)</f>
        <v>1</v>
      </c>
      <c r="B5" s="45" t="s">
        <v>97</v>
      </c>
      <c r="C5" s="46" t="s">
        <v>98</v>
      </c>
      <c r="D5" s="46" t="s">
        <v>99</v>
      </c>
      <c r="E5" s="46" t="s">
        <v>100</v>
      </c>
      <c r="F5" s="46" t="s">
        <v>65</v>
      </c>
      <c r="G5" s="47"/>
      <c r="H5" s="47" t="n">
        <v>46301</v>
      </c>
      <c r="I5" s="45" t="s">
        <v>101</v>
      </c>
      <c r="J5" s="45" t="s">
        <v>102</v>
      </c>
    </row>
    <row r="6" customFormat="false" ht="18" hidden="false" customHeight="true" outlineLevel="0" collapsed="false">
      <c r="A6" s="44" t="n">
        <f aca="false">IF(B6="","",ROW()-4)</f>
        <v>2</v>
      </c>
      <c r="B6" s="45" t="s">
        <v>103</v>
      </c>
      <c r="C6" s="46" t="s">
        <v>104</v>
      </c>
      <c r="D6" s="46" t="s">
        <v>100</v>
      </c>
      <c r="E6" s="46" t="s">
        <v>105</v>
      </c>
      <c r="F6" s="46" t="s">
        <v>82</v>
      </c>
      <c r="G6" s="47"/>
      <c r="H6" s="47" t="n">
        <v>46310</v>
      </c>
      <c r="I6" s="45" t="s">
        <v>106</v>
      </c>
      <c r="J6" s="45" t="s">
        <v>107</v>
      </c>
    </row>
    <row r="7" customFormat="false" ht="18" hidden="false" customHeight="true" outlineLevel="0" collapsed="false">
      <c r="A7" s="44" t="n">
        <f aca="false">IF(B7="","",ROW()-4)</f>
        <v>3</v>
      </c>
      <c r="B7" s="45" t="s">
        <v>108</v>
      </c>
      <c r="C7" s="46" t="s">
        <v>109</v>
      </c>
      <c r="D7" s="46" t="s">
        <v>100</v>
      </c>
      <c r="E7" s="46" t="s">
        <v>105</v>
      </c>
      <c r="F7" s="46" t="s">
        <v>110</v>
      </c>
      <c r="G7" s="47" t="n">
        <v>46358</v>
      </c>
      <c r="H7" s="47" t="n">
        <v>46273</v>
      </c>
      <c r="I7" s="45" t="s">
        <v>111</v>
      </c>
      <c r="J7" s="45"/>
    </row>
    <row r="8" customFormat="false" ht="18" hidden="false" customHeight="true" outlineLevel="0" collapsed="false">
      <c r="A8" s="44" t="n">
        <f aca="false">IF(B8="","",ROW()-4)</f>
        <v>4</v>
      </c>
      <c r="B8" s="45" t="s">
        <v>112</v>
      </c>
      <c r="C8" s="46" t="s">
        <v>104</v>
      </c>
      <c r="D8" s="46" t="s">
        <v>99</v>
      </c>
      <c r="E8" s="46" t="s">
        <v>105</v>
      </c>
      <c r="F8" s="46" t="s">
        <v>113</v>
      </c>
      <c r="G8" s="47"/>
      <c r="H8" s="47" t="n">
        <v>46312</v>
      </c>
      <c r="I8" s="45" t="s">
        <v>114</v>
      </c>
      <c r="J8" s="45" t="s">
        <v>115</v>
      </c>
    </row>
    <row r="9" customFormat="false" ht="18" hidden="false" customHeight="true" outlineLevel="0" collapsed="false">
      <c r="A9" s="44" t="str">
        <f aca="false">IF(B9="","",ROW()-4)</f>
        <v/>
      </c>
      <c r="B9" s="45"/>
      <c r="C9" s="46"/>
      <c r="D9" s="46"/>
      <c r="E9" s="46"/>
      <c r="F9" s="46"/>
      <c r="G9" s="47"/>
      <c r="H9" s="47"/>
      <c r="I9" s="45"/>
      <c r="J9" s="45"/>
    </row>
    <row r="10" customFormat="false" ht="18" hidden="false" customHeight="true" outlineLevel="0" collapsed="false">
      <c r="A10" s="44" t="str">
        <f aca="false">IF(B10="","",ROW()-4)</f>
        <v/>
      </c>
      <c r="B10" s="45"/>
      <c r="C10" s="46"/>
      <c r="D10" s="46"/>
      <c r="E10" s="46"/>
      <c r="F10" s="46"/>
      <c r="G10" s="47"/>
      <c r="H10" s="47"/>
      <c r="I10" s="45"/>
      <c r="J10" s="45"/>
    </row>
    <row r="11" customFormat="false" ht="18" hidden="false" customHeight="true" outlineLevel="0" collapsed="false">
      <c r="A11" s="44" t="str">
        <f aca="false">IF(B11="","",ROW()-4)</f>
        <v/>
      </c>
      <c r="B11" s="45"/>
      <c r="C11" s="46"/>
      <c r="D11" s="46"/>
      <c r="E11" s="46"/>
      <c r="F11" s="46"/>
      <c r="G11" s="47"/>
      <c r="H11" s="47"/>
      <c r="I11" s="45"/>
      <c r="J11" s="45"/>
    </row>
    <row r="12" customFormat="false" ht="18" hidden="false" customHeight="true" outlineLevel="0" collapsed="false">
      <c r="A12" s="44" t="str">
        <f aca="false">IF(B12="","",ROW()-4)</f>
        <v/>
      </c>
      <c r="B12" s="45"/>
      <c r="C12" s="46"/>
      <c r="D12" s="46"/>
      <c r="E12" s="46"/>
      <c r="F12" s="46"/>
      <c r="G12" s="47"/>
      <c r="H12" s="47"/>
      <c r="I12" s="45"/>
      <c r="J12" s="45"/>
    </row>
    <row r="13" customFormat="false" ht="18" hidden="false" customHeight="true" outlineLevel="0" collapsed="false">
      <c r="A13" s="44" t="str">
        <f aca="false">IF(B13="","",ROW()-4)</f>
        <v/>
      </c>
      <c r="B13" s="45"/>
      <c r="C13" s="46"/>
      <c r="D13" s="46"/>
      <c r="E13" s="46"/>
      <c r="F13" s="46"/>
      <c r="G13" s="47"/>
      <c r="H13" s="47"/>
      <c r="I13" s="45"/>
      <c r="J13" s="45"/>
    </row>
    <row r="14" customFormat="false" ht="18" hidden="false" customHeight="true" outlineLevel="0" collapsed="false">
      <c r="A14" s="44" t="str">
        <f aca="false">IF(B14="","",ROW()-4)</f>
        <v/>
      </c>
      <c r="B14" s="45"/>
      <c r="C14" s="46"/>
      <c r="D14" s="46"/>
      <c r="E14" s="46"/>
      <c r="F14" s="46"/>
      <c r="G14" s="47"/>
      <c r="H14" s="47"/>
      <c r="I14" s="45"/>
      <c r="J14" s="45"/>
    </row>
    <row r="15" customFormat="false" ht="18" hidden="false" customHeight="true" outlineLevel="0" collapsed="false">
      <c r="A15" s="44" t="str">
        <f aca="false">IF(B15="","",ROW()-4)</f>
        <v/>
      </c>
      <c r="B15" s="45"/>
      <c r="C15" s="46"/>
      <c r="D15" s="46"/>
      <c r="E15" s="46"/>
      <c r="F15" s="46"/>
      <c r="G15" s="47"/>
      <c r="H15" s="47"/>
      <c r="I15" s="45"/>
      <c r="J15" s="45"/>
    </row>
    <row r="16" customFormat="false" ht="18" hidden="false" customHeight="true" outlineLevel="0" collapsed="false">
      <c r="A16" s="44" t="str">
        <f aca="false">IF(B16="","",ROW()-4)</f>
        <v/>
      </c>
      <c r="B16" s="45"/>
      <c r="C16" s="46"/>
      <c r="D16" s="46"/>
      <c r="E16" s="46"/>
      <c r="F16" s="46"/>
      <c r="G16" s="47"/>
      <c r="H16" s="47"/>
      <c r="I16" s="45"/>
      <c r="J16" s="45"/>
    </row>
    <row r="17" customFormat="false" ht="18" hidden="false" customHeight="true" outlineLevel="0" collapsed="false">
      <c r="A17" s="44" t="str">
        <f aca="false">IF(B17="","",ROW()-4)</f>
        <v/>
      </c>
      <c r="B17" s="45"/>
      <c r="C17" s="46"/>
      <c r="D17" s="46"/>
      <c r="E17" s="46"/>
      <c r="F17" s="46"/>
      <c r="G17" s="47"/>
      <c r="H17" s="47"/>
      <c r="I17" s="45"/>
      <c r="J17" s="45"/>
    </row>
    <row r="18" customFormat="false" ht="18" hidden="false" customHeight="true" outlineLevel="0" collapsed="false">
      <c r="A18" s="44" t="str">
        <f aca="false">IF(B18="","",ROW()-4)</f>
        <v/>
      </c>
      <c r="B18" s="45"/>
      <c r="C18" s="46"/>
      <c r="D18" s="46"/>
      <c r="E18" s="46"/>
      <c r="F18" s="46"/>
      <c r="G18" s="47"/>
      <c r="H18" s="47"/>
      <c r="I18" s="45"/>
      <c r="J18" s="45"/>
    </row>
    <row r="19" customFormat="false" ht="18" hidden="false" customHeight="true" outlineLevel="0" collapsed="false">
      <c r="A19" s="44" t="str">
        <f aca="false">IF(B19="","",ROW()-4)</f>
        <v/>
      </c>
      <c r="B19" s="45"/>
      <c r="C19" s="46"/>
      <c r="D19" s="46"/>
      <c r="E19" s="46"/>
      <c r="F19" s="46"/>
      <c r="G19" s="47"/>
      <c r="H19" s="47"/>
      <c r="I19" s="45"/>
      <c r="J19" s="45"/>
    </row>
    <row r="20" customFormat="false" ht="18" hidden="false" customHeight="true" outlineLevel="0" collapsed="false">
      <c r="A20" s="44" t="str">
        <f aca="false">IF(B20="","",ROW()-4)</f>
        <v/>
      </c>
      <c r="B20" s="45"/>
      <c r="C20" s="46"/>
      <c r="D20" s="46"/>
      <c r="E20" s="46"/>
      <c r="F20" s="46"/>
      <c r="G20" s="47"/>
      <c r="H20" s="47"/>
      <c r="I20" s="45"/>
      <c r="J20" s="45"/>
    </row>
    <row r="21" customFormat="false" ht="18" hidden="false" customHeight="true" outlineLevel="0" collapsed="false">
      <c r="A21" s="44" t="str">
        <f aca="false">IF(B21="","",ROW()-4)</f>
        <v/>
      </c>
      <c r="B21" s="45"/>
      <c r="C21" s="46"/>
      <c r="D21" s="46"/>
      <c r="E21" s="46"/>
      <c r="F21" s="46"/>
      <c r="G21" s="47"/>
      <c r="H21" s="47"/>
      <c r="I21" s="45"/>
      <c r="J21" s="45"/>
    </row>
    <row r="22" customFormat="false" ht="18" hidden="false" customHeight="true" outlineLevel="0" collapsed="false">
      <c r="A22" s="44" t="str">
        <f aca="false">IF(B22="","",ROW()-4)</f>
        <v/>
      </c>
      <c r="B22" s="45"/>
      <c r="C22" s="46"/>
      <c r="D22" s="46"/>
      <c r="E22" s="46"/>
      <c r="F22" s="46"/>
      <c r="G22" s="47"/>
      <c r="H22" s="47"/>
      <c r="I22" s="45"/>
      <c r="J22" s="45"/>
    </row>
    <row r="23" customFormat="false" ht="18" hidden="false" customHeight="true" outlineLevel="0" collapsed="false">
      <c r="A23" s="44" t="str">
        <f aca="false">IF(B23="","",ROW()-4)</f>
        <v/>
      </c>
      <c r="B23" s="45"/>
      <c r="C23" s="46"/>
      <c r="D23" s="46"/>
      <c r="E23" s="46"/>
      <c r="F23" s="46"/>
      <c r="G23" s="47"/>
      <c r="H23" s="47"/>
      <c r="I23" s="45"/>
      <c r="J23" s="45"/>
    </row>
    <row r="24" customFormat="false" ht="18" hidden="false" customHeight="true" outlineLevel="0" collapsed="false">
      <c r="A24" s="44" t="str">
        <f aca="false">IF(B24="","",ROW()-4)</f>
        <v/>
      </c>
      <c r="B24" s="45"/>
      <c r="C24" s="46"/>
      <c r="D24" s="46"/>
      <c r="E24" s="46"/>
      <c r="F24" s="46"/>
      <c r="G24" s="47"/>
      <c r="H24" s="47"/>
      <c r="I24" s="45"/>
      <c r="J24" s="45"/>
    </row>
    <row r="25" customFormat="false" ht="18" hidden="false" customHeight="true" outlineLevel="0" collapsed="false">
      <c r="A25" s="44" t="str">
        <f aca="false">IF(B25="","",ROW()-4)</f>
        <v/>
      </c>
      <c r="B25" s="45"/>
      <c r="C25" s="46"/>
      <c r="D25" s="46"/>
      <c r="E25" s="46"/>
      <c r="F25" s="46"/>
      <c r="G25" s="47"/>
      <c r="H25" s="47"/>
      <c r="I25" s="45"/>
      <c r="J25" s="45"/>
    </row>
    <row r="26" customFormat="false" ht="18" hidden="false" customHeight="true" outlineLevel="0" collapsed="false">
      <c r="A26" s="44" t="str">
        <f aca="false">IF(B26="","",ROW()-4)</f>
        <v/>
      </c>
      <c r="B26" s="45"/>
      <c r="C26" s="46"/>
      <c r="D26" s="46"/>
      <c r="E26" s="46"/>
      <c r="F26" s="46"/>
      <c r="G26" s="47"/>
      <c r="H26" s="47"/>
      <c r="I26" s="45"/>
      <c r="J26" s="45"/>
    </row>
    <row r="27" customFormat="false" ht="18" hidden="false" customHeight="true" outlineLevel="0" collapsed="false">
      <c r="A27" s="44" t="str">
        <f aca="false">IF(B27="","",ROW()-4)</f>
        <v/>
      </c>
      <c r="B27" s="45"/>
      <c r="C27" s="46"/>
      <c r="D27" s="46"/>
      <c r="E27" s="46"/>
      <c r="F27" s="46"/>
      <c r="G27" s="47"/>
      <c r="H27" s="47"/>
      <c r="I27" s="45"/>
      <c r="J27" s="45"/>
    </row>
    <row r="28" customFormat="false" ht="18" hidden="false" customHeight="true" outlineLevel="0" collapsed="false">
      <c r="A28" s="44" t="str">
        <f aca="false">IF(B28="","",ROW()-4)</f>
        <v/>
      </c>
      <c r="B28" s="45"/>
      <c r="C28" s="46"/>
      <c r="D28" s="46"/>
      <c r="E28" s="46"/>
      <c r="F28" s="46"/>
      <c r="G28" s="47"/>
      <c r="H28" s="47"/>
      <c r="I28" s="45"/>
      <c r="J28" s="45"/>
    </row>
    <row r="29" customFormat="false" ht="18" hidden="false" customHeight="true" outlineLevel="0" collapsed="false">
      <c r="A29" s="44" t="str">
        <f aca="false">IF(B29="","",ROW()-4)</f>
        <v/>
      </c>
      <c r="B29" s="45"/>
      <c r="C29" s="46"/>
      <c r="D29" s="46"/>
      <c r="E29" s="46"/>
      <c r="F29" s="46"/>
      <c r="G29" s="47"/>
      <c r="H29" s="47"/>
      <c r="I29" s="45"/>
      <c r="J29" s="45"/>
    </row>
    <row r="30" customFormat="false" ht="18" hidden="false" customHeight="true" outlineLevel="0" collapsed="false">
      <c r="A30" s="44" t="str">
        <f aca="false">IF(B30="","",ROW()-4)</f>
        <v/>
      </c>
      <c r="B30" s="45"/>
      <c r="C30" s="46"/>
      <c r="D30" s="46"/>
      <c r="E30" s="46"/>
      <c r="F30" s="46"/>
      <c r="G30" s="47"/>
      <c r="H30" s="47"/>
      <c r="I30" s="45"/>
      <c r="J30" s="45"/>
    </row>
    <row r="31" customFormat="false" ht="18" hidden="false" customHeight="true" outlineLevel="0" collapsed="false">
      <c r="A31" s="44" t="str">
        <f aca="false">IF(B31="","",ROW()-4)</f>
        <v/>
      </c>
      <c r="B31" s="45"/>
      <c r="C31" s="46"/>
      <c r="D31" s="46"/>
      <c r="E31" s="46"/>
      <c r="F31" s="46"/>
      <c r="G31" s="47"/>
      <c r="H31" s="47"/>
      <c r="I31" s="45"/>
      <c r="J31" s="45"/>
    </row>
    <row r="32" customFormat="false" ht="18" hidden="false" customHeight="true" outlineLevel="0" collapsed="false">
      <c r="A32" s="44" t="str">
        <f aca="false">IF(B32="","",ROW()-4)</f>
        <v/>
      </c>
      <c r="B32" s="45"/>
      <c r="C32" s="46"/>
      <c r="D32" s="46"/>
      <c r="E32" s="46"/>
      <c r="F32" s="46"/>
      <c r="G32" s="47"/>
      <c r="H32" s="47"/>
      <c r="I32" s="45"/>
      <c r="J32" s="45"/>
    </row>
    <row r="33" customFormat="false" ht="18" hidden="false" customHeight="true" outlineLevel="0" collapsed="false">
      <c r="A33" s="44" t="str">
        <f aca="false">IF(B33="","",ROW()-4)</f>
        <v/>
      </c>
      <c r="B33" s="45"/>
      <c r="C33" s="46"/>
      <c r="D33" s="46"/>
      <c r="E33" s="46"/>
      <c r="F33" s="46"/>
      <c r="G33" s="47"/>
      <c r="H33" s="47"/>
      <c r="I33" s="45"/>
      <c r="J33" s="45"/>
    </row>
    <row r="34" customFormat="false" ht="18" hidden="false" customHeight="true" outlineLevel="0" collapsed="false">
      <c r="A34" s="44" t="str">
        <f aca="false">IF(B34="","",ROW()-4)</f>
        <v/>
      </c>
      <c r="B34" s="45"/>
      <c r="C34" s="46"/>
      <c r="D34" s="46"/>
      <c r="E34" s="46"/>
      <c r="F34" s="46"/>
      <c r="G34" s="47"/>
      <c r="H34" s="47"/>
      <c r="I34" s="45"/>
      <c r="J34" s="45"/>
    </row>
    <row r="35" customFormat="false" ht="18" hidden="false" customHeight="true" outlineLevel="0" collapsed="false">
      <c r="A35" s="44" t="str">
        <f aca="false">IF(B35="","",ROW()-4)</f>
        <v/>
      </c>
      <c r="B35" s="45"/>
      <c r="C35" s="46"/>
      <c r="D35" s="46"/>
      <c r="E35" s="46"/>
      <c r="F35" s="46"/>
      <c r="G35" s="47"/>
      <c r="H35" s="47"/>
      <c r="I35" s="45"/>
      <c r="J35" s="45"/>
    </row>
    <row r="36" customFormat="false" ht="18" hidden="false" customHeight="true" outlineLevel="0" collapsed="false">
      <c r="A36" s="44" t="str">
        <f aca="false">IF(B36="","",ROW()-4)</f>
        <v/>
      </c>
      <c r="B36" s="45"/>
      <c r="C36" s="46"/>
      <c r="D36" s="46"/>
      <c r="E36" s="46"/>
      <c r="F36" s="46"/>
      <c r="G36" s="47"/>
      <c r="H36" s="47"/>
      <c r="I36" s="45"/>
      <c r="J36" s="45"/>
    </row>
    <row r="37" customFormat="false" ht="18" hidden="false" customHeight="true" outlineLevel="0" collapsed="false">
      <c r="A37" s="44" t="str">
        <f aca="false">IF(B37="","",ROW()-4)</f>
        <v/>
      </c>
      <c r="B37" s="45"/>
      <c r="C37" s="46"/>
      <c r="D37" s="46"/>
      <c r="E37" s="46"/>
      <c r="F37" s="46"/>
      <c r="G37" s="47"/>
      <c r="H37" s="47"/>
      <c r="I37" s="45"/>
      <c r="J37" s="45"/>
    </row>
    <row r="38" customFormat="false" ht="18" hidden="false" customHeight="true" outlineLevel="0" collapsed="false">
      <c r="A38" s="44" t="str">
        <f aca="false">IF(B38="","",ROW()-4)</f>
        <v/>
      </c>
      <c r="B38" s="45"/>
      <c r="C38" s="46"/>
      <c r="D38" s="46"/>
      <c r="E38" s="46"/>
      <c r="F38" s="46"/>
      <c r="G38" s="47"/>
      <c r="H38" s="47"/>
      <c r="I38" s="45"/>
      <c r="J38" s="45"/>
    </row>
    <row r="39" customFormat="false" ht="18" hidden="false" customHeight="true" outlineLevel="0" collapsed="false">
      <c r="A39" s="44" t="str">
        <f aca="false">IF(B39="","",ROW()-4)</f>
        <v/>
      </c>
      <c r="B39" s="45"/>
      <c r="C39" s="46"/>
      <c r="D39" s="46"/>
      <c r="E39" s="46"/>
      <c r="F39" s="46"/>
      <c r="G39" s="47"/>
      <c r="H39" s="47"/>
      <c r="I39" s="45"/>
      <c r="J39" s="45"/>
    </row>
    <row r="40" customFormat="false" ht="18" hidden="false" customHeight="true" outlineLevel="0" collapsed="false">
      <c r="A40" s="44" t="str">
        <f aca="false">IF(B40="","",ROW()-4)</f>
        <v/>
      </c>
      <c r="B40" s="45"/>
      <c r="C40" s="46"/>
      <c r="D40" s="46"/>
      <c r="E40" s="46"/>
      <c r="F40" s="46"/>
      <c r="G40" s="47"/>
      <c r="H40" s="47"/>
      <c r="I40" s="45"/>
      <c r="J40" s="45"/>
    </row>
    <row r="41" customFormat="false" ht="18" hidden="false" customHeight="true" outlineLevel="0" collapsed="false">
      <c r="A41" s="44" t="str">
        <f aca="false">IF(B41="","",ROW()-4)</f>
        <v/>
      </c>
      <c r="B41" s="45"/>
      <c r="C41" s="46"/>
      <c r="D41" s="46"/>
      <c r="E41" s="46"/>
      <c r="F41" s="46"/>
      <c r="G41" s="47"/>
      <c r="H41" s="47"/>
      <c r="I41" s="45"/>
      <c r="J41" s="45"/>
    </row>
    <row r="42" customFormat="false" ht="18" hidden="false" customHeight="true" outlineLevel="0" collapsed="false">
      <c r="A42" s="44" t="str">
        <f aca="false">IF(B42="","",ROW()-4)</f>
        <v/>
      </c>
      <c r="B42" s="45"/>
      <c r="C42" s="46"/>
      <c r="D42" s="46"/>
      <c r="E42" s="46"/>
      <c r="F42" s="46"/>
      <c r="G42" s="47"/>
      <c r="H42" s="47"/>
      <c r="I42" s="45"/>
      <c r="J42" s="45"/>
    </row>
    <row r="43" customFormat="false" ht="18" hidden="false" customHeight="true" outlineLevel="0" collapsed="false">
      <c r="A43" s="44" t="str">
        <f aca="false">IF(B43="","",ROW()-4)</f>
        <v/>
      </c>
      <c r="B43" s="45"/>
      <c r="C43" s="46"/>
      <c r="D43" s="46"/>
      <c r="E43" s="46"/>
      <c r="F43" s="46"/>
      <c r="G43" s="47"/>
      <c r="H43" s="47"/>
      <c r="I43" s="45"/>
      <c r="J43" s="45"/>
    </row>
    <row r="44" customFormat="false" ht="18" hidden="false" customHeight="true" outlineLevel="0" collapsed="false">
      <c r="A44" s="44" t="str">
        <f aca="false">IF(B44="","",ROW()-4)</f>
        <v/>
      </c>
      <c r="B44" s="45"/>
      <c r="C44" s="46"/>
      <c r="D44" s="46"/>
      <c r="E44" s="46"/>
      <c r="F44" s="46"/>
      <c r="G44" s="47"/>
      <c r="H44" s="47"/>
      <c r="I44" s="45"/>
      <c r="J44" s="45"/>
    </row>
    <row r="45" customFormat="false" ht="18" hidden="false" customHeight="true" outlineLevel="0" collapsed="false">
      <c r="A45" s="44" t="str">
        <f aca="false">IF(B45="","",ROW()-4)</f>
        <v/>
      </c>
      <c r="B45" s="45"/>
      <c r="C45" s="46"/>
      <c r="D45" s="46"/>
      <c r="E45" s="46"/>
      <c r="F45" s="46"/>
      <c r="G45" s="47"/>
      <c r="H45" s="47"/>
      <c r="I45" s="45"/>
      <c r="J45" s="45"/>
    </row>
    <row r="46" customFormat="false" ht="18" hidden="false" customHeight="true" outlineLevel="0" collapsed="false">
      <c r="A46" s="44" t="str">
        <f aca="false">IF(B46="","",ROW()-4)</f>
        <v/>
      </c>
      <c r="B46" s="45"/>
      <c r="C46" s="46"/>
      <c r="D46" s="46"/>
      <c r="E46" s="46"/>
      <c r="F46" s="46"/>
      <c r="G46" s="47"/>
      <c r="H46" s="47"/>
      <c r="I46" s="45"/>
      <c r="J46" s="45"/>
    </row>
    <row r="47" customFormat="false" ht="18" hidden="false" customHeight="true" outlineLevel="0" collapsed="false">
      <c r="A47" s="44" t="str">
        <f aca="false">IF(B47="","",ROW()-4)</f>
        <v/>
      </c>
      <c r="B47" s="45"/>
      <c r="C47" s="46"/>
      <c r="D47" s="46"/>
      <c r="E47" s="46"/>
      <c r="F47" s="46"/>
      <c r="G47" s="47"/>
      <c r="H47" s="47"/>
      <c r="I47" s="45"/>
      <c r="J47" s="45"/>
    </row>
    <row r="48" customFormat="false" ht="18" hidden="false" customHeight="true" outlineLevel="0" collapsed="false">
      <c r="A48" s="44" t="str">
        <f aca="false">IF(B48="","",ROW()-4)</f>
        <v/>
      </c>
      <c r="B48" s="45"/>
      <c r="C48" s="46"/>
      <c r="D48" s="46"/>
      <c r="E48" s="46"/>
      <c r="F48" s="46"/>
      <c r="G48" s="47"/>
      <c r="H48" s="47"/>
      <c r="I48" s="45"/>
      <c r="J48" s="45"/>
    </row>
    <row r="49" customFormat="false" ht="18" hidden="false" customHeight="true" outlineLevel="0" collapsed="false">
      <c r="A49" s="44" t="str">
        <f aca="false">IF(B49="","",ROW()-4)</f>
        <v/>
      </c>
      <c r="B49" s="45"/>
      <c r="C49" s="46"/>
      <c r="D49" s="46"/>
      <c r="E49" s="46"/>
      <c r="F49" s="46"/>
      <c r="G49" s="47"/>
      <c r="H49" s="47"/>
      <c r="I49" s="45"/>
      <c r="J49" s="45"/>
    </row>
    <row r="50" customFormat="false" ht="18" hidden="false" customHeight="true" outlineLevel="0" collapsed="false">
      <c r="A50" s="44" t="str">
        <f aca="false">IF(B50="","",ROW()-4)</f>
        <v/>
      </c>
      <c r="B50" s="45"/>
      <c r="C50" s="46"/>
      <c r="D50" s="46"/>
      <c r="E50" s="46"/>
      <c r="F50" s="46"/>
      <c r="G50" s="47"/>
      <c r="H50" s="47"/>
      <c r="I50" s="45"/>
      <c r="J50" s="45"/>
    </row>
    <row r="51" customFormat="false" ht="18" hidden="false" customHeight="true" outlineLevel="0" collapsed="false">
      <c r="A51" s="44" t="str">
        <f aca="false">IF(B51="","",ROW()-4)</f>
        <v/>
      </c>
      <c r="B51" s="45"/>
      <c r="C51" s="46"/>
      <c r="D51" s="46"/>
      <c r="E51" s="46"/>
      <c r="F51" s="46"/>
      <c r="G51" s="47"/>
      <c r="H51" s="47"/>
      <c r="I51" s="45"/>
      <c r="J51" s="45"/>
    </row>
    <row r="52" customFormat="false" ht="18" hidden="false" customHeight="true" outlineLevel="0" collapsed="false">
      <c r="A52" s="44" t="str">
        <f aca="false">IF(B52="","",ROW()-4)</f>
        <v/>
      </c>
      <c r="B52" s="45"/>
      <c r="C52" s="46"/>
      <c r="D52" s="46"/>
      <c r="E52" s="46"/>
      <c r="F52" s="46"/>
      <c r="G52" s="47"/>
      <c r="H52" s="47"/>
      <c r="I52" s="45"/>
      <c r="J52" s="45"/>
    </row>
    <row r="53" customFormat="false" ht="18" hidden="false" customHeight="true" outlineLevel="0" collapsed="false">
      <c r="A53" s="44" t="str">
        <f aca="false">IF(B53="","",ROW()-4)</f>
        <v/>
      </c>
      <c r="B53" s="45"/>
      <c r="C53" s="46"/>
      <c r="D53" s="46"/>
      <c r="E53" s="46"/>
      <c r="F53" s="46"/>
      <c r="G53" s="47"/>
      <c r="H53" s="47"/>
      <c r="I53" s="45"/>
      <c r="J53" s="45"/>
    </row>
    <row r="54" customFormat="false" ht="18" hidden="false" customHeight="true" outlineLevel="0" collapsed="false">
      <c r="A54" s="44" t="str">
        <f aca="false">IF(B54="","",ROW()-4)</f>
        <v/>
      </c>
      <c r="B54" s="45"/>
      <c r="C54" s="46"/>
      <c r="D54" s="46"/>
      <c r="E54" s="46"/>
      <c r="F54" s="46"/>
      <c r="G54" s="47"/>
      <c r="H54" s="47"/>
      <c r="I54" s="45"/>
      <c r="J54" s="45"/>
    </row>
    <row r="55" customFormat="false" ht="18" hidden="false" customHeight="true" outlineLevel="0" collapsed="false">
      <c r="A55" s="44" t="str">
        <f aca="false">IF(B55="","",ROW()-4)</f>
        <v/>
      </c>
      <c r="B55" s="45"/>
      <c r="C55" s="46"/>
      <c r="D55" s="46"/>
      <c r="E55" s="46"/>
      <c r="F55" s="46"/>
      <c r="G55" s="47"/>
      <c r="H55" s="47"/>
      <c r="I55" s="45"/>
      <c r="J55" s="45"/>
    </row>
    <row r="56" customFormat="false" ht="18" hidden="false" customHeight="true" outlineLevel="0" collapsed="false">
      <c r="A56" s="44" t="str">
        <f aca="false">IF(B56="","",ROW()-4)</f>
        <v/>
      </c>
      <c r="B56" s="45"/>
      <c r="C56" s="46"/>
      <c r="D56" s="46"/>
      <c r="E56" s="46"/>
      <c r="F56" s="46"/>
      <c r="G56" s="47"/>
      <c r="H56" s="47"/>
      <c r="I56" s="45"/>
      <c r="J56" s="45"/>
    </row>
    <row r="57" customFormat="false" ht="18" hidden="false" customHeight="true" outlineLevel="0" collapsed="false">
      <c r="A57" s="44" t="str">
        <f aca="false">IF(B57="","",ROW()-4)</f>
        <v/>
      </c>
      <c r="B57" s="45"/>
      <c r="C57" s="46"/>
      <c r="D57" s="46"/>
      <c r="E57" s="46"/>
      <c r="F57" s="46"/>
      <c r="G57" s="47"/>
      <c r="H57" s="47"/>
      <c r="I57" s="45"/>
      <c r="J57" s="45"/>
    </row>
    <row r="58" customFormat="false" ht="18" hidden="false" customHeight="true" outlineLevel="0" collapsed="false">
      <c r="A58" s="44" t="str">
        <f aca="false">IF(B58="","",ROW()-4)</f>
        <v/>
      </c>
      <c r="B58" s="45"/>
      <c r="C58" s="46"/>
      <c r="D58" s="46"/>
      <c r="E58" s="46"/>
      <c r="F58" s="46"/>
      <c r="G58" s="47"/>
      <c r="H58" s="47"/>
      <c r="I58" s="45"/>
      <c r="J58" s="45"/>
    </row>
    <row r="59" customFormat="false" ht="18" hidden="false" customHeight="true" outlineLevel="0" collapsed="false">
      <c r="A59" s="44" t="str">
        <f aca="false">IF(B59="","",ROW()-4)</f>
        <v/>
      </c>
      <c r="B59" s="45"/>
      <c r="C59" s="46"/>
      <c r="D59" s="46"/>
      <c r="E59" s="46"/>
      <c r="F59" s="46"/>
      <c r="G59" s="47"/>
      <c r="H59" s="47"/>
      <c r="I59" s="45"/>
      <c r="J59" s="45"/>
    </row>
    <row r="60" customFormat="false" ht="18" hidden="false" customHeight="true" outlineLevel="0" collapsed="false">
      <c r="A60" s="44" t="str">
        <f aca="false">IF(B60="","",ROW()-4)</f>
        <v/>
      </c>
      <c r="B60" s="45"/>
      <c r="C60" s="46"/>
      <c r="D60" s="46"/>
      <c r="E60" s="46"/>
      <c r="F60" s="46"/>
      <c r="G60" s="47"/>
      <c r="H60" s="47"/>
      <c r="I60" s="45"/>
      <c r="J60" s="45"/>
    </row>
    <row r="61" customFormat="false" ht="18" hidden="false" customHeight="true" outlineLevel="0" collapsed="false">
      <c r="A61" s="44" t="str">
        <f aca="false">IF(B61="","",ROW()-4)</f>
        <v/>
      </c>
      <c r="B61" s="45"/>
      <c r="C61" s="46"/>
      <c r="D61" s="46"/>
      <c r="E61" s="46"/>
      <c r="F61" s="46"/>
      <c r="G61" s="47"/>
      <c r="H61" s="47"/>
      <c r="I61" s="45"/>
      <c r="J61" s="45"/>
    </row>
    <row r="62" customFormat="false" ht="18" hidden="false" customHeight="true" outlineLevel="0" collapsed="false">
      <c r="A62" s="44" t="str">
        <f aca="false">IF(B62="","",ROW()-4)</f>
        <v/>
      </c>
      <c r="B62" s="45"/>
      <c r="C62" s="46"/>
      <c r="D62" s="46"/>
      <c r="E62" s="46"/>
      <c r="F62" s="46"/>
      <c r="G62" s="47"/>
      <c r="H62" s="47"/>
      <c r="I62" s="45"/>
      <c r="J62" s="45"/>
    </row>
    <row r="63" customFormat="false" ht="18" hidden="false" customHeight="true" outlineLevel="0" collapsed="false">
      <c r="A63" s="44" t="str">
        <f aca="false">IF(B63="","",ROW()-4)</f>
        <v/>
      </c>
      <c r="B63" s="45"/>
      <c r="C63" s="46"/>
      <c r="D63" s="46"/>
      <c r="E63" s="46"/>
      <c r="F63" s="46"/>
      <c r="G63" s="47"/>
      <c r="H63" s="47"/>
      <c r="I63" s="45"/>
      <c r="J63" s="45"/>
    </row>
    <row r="64" customFormat="false" ht="18" hidden="false" customHeight="true" outlineLevel="0" collapsed="false">
      <c r="A64" s="44" t="str">
        <f aca="false">IF(B64="","",ROW()-4)</f>
        <v/>
      </c>
      <c r="B64" s="45"/>
      <c r="C64" s="46"/>
      <c r="D64" s="46"/>
      <c r="E64" s="46"/>
      <c r="F64" s="46"/>
      <c r="G64" s="47"/>
      <c r="H64" s="47"/>
      <c r="I64" s="45"/>
      <c r="J64" s="45"/>
    </row>
    <row r="65" customFormat="false" ht="18" hidden="false" customHeight="true" outlineLevel="0" collapsed="false">
      <c r="A65" s="44" t="str">
        <f aca="false">IF(B65="","",ROW()-4)</f>
        <v/>
      </c>
      <c r="B65" s="45"/>
      <c r="C65" s="46"/>
      <c r="D65" s="46"/>
      <c r="E65" s="46"/>
      <c r="F65" s="46"/>
      <c r="G65" s="47"/>
      <c r="H65" s="47"/>
      <c r="I65" s="45"/>
      <c r="J65" s="45"/>
    </row>
    <row r="66" customFormat="false" ht="18" hidden="false" customHeight="true" outlineLevel="0" collapsed="false">
      <c r="A66" s="44" t="str">
        <f aca="false">IF(B66="","",ROW()-4)</f>
        <v/>
      </c>
      <c r="B66" s="45"/>
      <c r="C66" s="46"/>
      <c r="D66" s="46"/>
      <c r="E66" s="46"/>
      <c r="F66" s="46"/>
      <c r="G66" s="47"/>
      <c r="H66" s="47"/>
      <c r="I66" s="45"/>
      <c r="J66" s="45"/>
    </row>
    <row r="67" customFormat="false" ht="18" hidden="false" customHeight="true" outlineLevel="0" collapsed="false">
      <c r="A67" s="44" t="str">
        <f aca="false">IF(B67="","",ROW()-4)</f>
        <v/>
      </c>
      <c r="B67" s="45"/>
      <c r="C67" s="46"/>
      <c r="D67" s="46"/>
      <c r="E67" s="46"/>
      <c r="F67" s="46"/>
      <c r="G67" s="47"/>
      <c r="H67" s="47"/>
      <c r="I67" s="45"/>
      <c r="J67" s="45"/>
    </row>
    <row r="68" customFormat="false" ht="18" hidden="false" customHeight="true" outlineLevel="0" collapsed="false">
      <c r="A68" s="44" t="str">
        <f aca="false">IF(B68="","",ROW()-4)</f>
        <v/>
      </c>
      <c r="B68" s="45"/>
      <c r="C68" s="46"/>
      <c r="D68" s="46"/>
      <c r="E68" s="46"/>
      <c r="F68" s="46"/>
      <c r="G68" s="47"/>
      <c r="H68" s="47"/>
      <c r="I68" s="45"/>
      <c r="J68" s="45"/>
    </row>
    <row r="69" customFormat="false" ht="18" hidden="false" customHeight="true" outlineLevel="0" collapsed="false">
      <c r="A69" s="44" t="str">
        <f aca="false">IF(B69="","",ROW()-4)</f>
        <v/>
      </c>
      <c r="B69" s="45"/>
      <c r="C69" s="46"/>
      <c r="D69" s="46"/>
      <c r="E69" s="46"/>
      <c r="F69" s="46"/>
      <c r="G69" s="47"/>
      <c r="H69" s="47"/>
      <c r="I69" s="45"/>
      <c r="J69" s="45"/>
    </row>
    <row r="70" customFormat="false" ht="18" hidden="false" customHeight="true" outlineLevel="0" collapsed="false">
      <c r="A70" s="44" t="str">
        <f aca="false">IF(B70="","",ROW()-4)</f>
        <v/>
      </c>
      <c r="B70" s="45"/>
      <c r="C70" s="46"/>
      <c r="D70" s="46"/>
      <c r="E70" s="46"/>
      <c r="F70" s="46"/>
      <c r="G70" s="47"/>
      <c r="H70" s="47"/>
      <c r="I70" s="45"/>
      <c r="J70" s="45"/>
    </row>
    <row r="71" customFormat="false" ht="18" hidden="false" customHeight="true" outlineLevel="0" collapsed="false">
      <c r="A71" s="44" t="str">
        <f aca="false">IF(B71="","",ROW()-4)</f>
        <v/>
      </c>
      <c r="B71" s="45"/>
      <c r="C71" s="46"/>
      <c r="D71" s="46"/>
      <c r="E71" s="46"/>
      <c r="F71" s="46"/>
      <c r="G71" s="47"/>
      <c r="H71" s="47"/>
      <c r="I71" s="45"/>
      <c r="J71" s="45"/>
    </row>
    <row r="72" customFormat="false" ht="18" hidden="false" customHeight="true" outlineLevel="0" collapsed="false">
      <c r="A72" s="44" t="str">
        <f aca="false">IF(B72="","",ROW()-4)</f>
        <v/>
      </c>
      <c r="B72" s="45"/>
      <c r="C72" s="46"/>
      <c r="D72" s="46"/>
      <c r="E72" s="46"/>
      <c r="F72" s="46"/>
      <c r="G72" s="47"/>
      <c r="H72" s="47"/>
      <c r="I72" s="45"/>
      <c r="J72" s="45"/>
    </row>
    <row r="73" customFormat="false" ht="18" hidden="false" customHeight="true" outlineLevel="0" collapsed="false">
      <c r="A73" s="44" t="str">
        <f aca="false">IF(B73="","",ROW()-4)</f>
        <v/>
      </c>
      <c r="B73" s="45"/>
      <c r="C73" s="46"/>
      <c r="D73" s="46"/>
      <c r="E73" s="46"/>
      <c r="F73" s="46"/>
      <c r="G73" s="47"/>
      <c r="H73" s="47"/>
      <c r="I73" s="45"/>
      <c r="J73" s="45"/>
    </row>
    <row r="74" customFormat="false" ht="18" hidden="false" customHeight="true" outlineLevel="0" collapsed="false">
      <c r="A74" s="44" t="str">
        <f aca="false">IF(B74="","",ROW()-4)</f>
        <v/>
      </c>
      <c r="B74" s="45"/>
      <c r="C74" s="46"/>
      <c r="D74" s="46"/>
      <c r="E74" s="46"/>
      <c r="F74" s="46"/>
      <c r="G74" s="47"/>
      <c r="H74" s="47"/>
      <c r="I74" s="45"/>
      <c r="J74" s="45"/>
    </row>
    <row r="75" customFormat="false" ht="18" hidden="false" customHeight="true" outlineLevel="0" collapsed="false">
      <c r="A75" s="44" t="str">
        <f aca="false">IF(B75="","",ROW()-4)</f>
        <v/>
      </c>
      <c r="B75" s="45"/>
      <c r="C75" s="46"/>
      <c r="D75" s="46"/>
      <c r="E75" s="46"/>
      <c r="F75" s="46"/>
      <c r="G75" s="47"/>
      <c r="H75" s="47"/>
      <c r="I75" s="45"/>
      <c r="J75" s="45"/>
    </row>
    <row r="76" customFormat="false" ht="18" hidden="false" customHeight="true" outlineLevel="0" collapsed="false">
      <c r="A76" s="44" t="str">
        <f aca="false">IF(B76="","",ROW()-4)</f>
        <v/>
      </c>
      <c r="B76" s="45"/>
      <c r="C76" s="46"/>
      <c r="D76" s="46"/>
      <c r="E76" s="46"/>
      <c r="F76" s="46"/>
      <c r="G76" s="47"/>
      <c r="H76" s="47"/>
      <c r="I76" s="45"/>
      <c r="J76" s="45"/>
    </row>
    <row r="77" customFormat="false" ht="18" hidden="false" customHeight="true" outlineLevel="0" collapsed="false">
      <c r="A77" s="44" t="str">
        <f aca="false">IF(B77="","",ROW()-4)</f>
        <v/>
      </c>
      <c r="B77" s="45"/>
      <c r="C77" s="46"/>
      <c r="D77" s="46"/>
      <c r="E77" s="46"/>
      <c r="F77" s="46"/>
      <c r="G77" s="47"/>
      <c r="H77" s="47"/>
      <c r="I77" s="45"/>
      <c r="J77" s="45"/>
    </row>
    <row r="78" customFormat="false" ht="18" hidden="false" customHeight="true" outlineLevel="0" collapsed="false">
      <c r="A78" s="44" t="str">
        <f aca="false">IF(B78="","",ROW()-4)</f>
        <v/>
      </c>
      <c r="B78" s="45"/>
      <c r="C78" s="46"/>
      <c r="D78" s="46"/>
      <c r="E78" s="46"/>
      <c r="F78" s="46"/>
      <c r="G78" s="47"/>
      <c r="H78" s="47"/>
      <c r="I78" s="45"/>
      <c r="J78" s="45"/>
    </row>
    <row r="79" customFormat="false" ht="18" hidden="false" customHeight="true" outlineLevel="0" collapsed="false">
      <c r="A79" s="44" t="str">
        <f aca="false">IF(B79="","",ROW()-4)</f>
        <v/>
      </c>
      <c r="B79" s="45"/>
      <c r="C79" s="46"/>
      <c r="D79" s="46"/>
      <c r="E79" s="46"/>
      <c r="F79" s="46"/>
      <c r="G79" s="47"/>
      <c r="H79" s="47"/>
      <c r="I79" s="45"/>
      <c r="J79" s="45"/>
    </row>
    <row r="80" customFormat="false" ht="18" hidden="false" customHeight="true" outlineLevel="0" collapsed="false">
      <c r="A80" s="44" t="str">
        <f aca="false">IF(B80="","",ROW()-4)</f>
        <v/>
      </c>
      <c r="B80" s="45"/>
      <c r="C80" s="46"/>
      <c r="D80" s="46"/>
      <c r="E80" s="46"/>
      <c r="F80" s="46"/>
      <c r="G80" s="47"/>
      <c r="H80" s="47"/>
      <c r="I80" s="45"/>
      <c r="J80" s="45"/>
    </row>
    <row r="81" customFormat="false" ht="18" hidden="false" customHeight="true" outlineLevel="0" collapsed="false">
      <c r="A81" s="44" t="str">
        <f aca="false">IF(B81="","",ROW()-4)</f>
        <v/>
      </c>
      <c r="B81" s="45"/>
      <c r="C81" s="46"/>
      <c r="D81" s="46"/>
      <c r="E81" s="46"/>
      <c r="F81" s="46"/>
      <c r="G81" s="47"/>
      <c r="H81" s="47"/>
      <c r="I81" s="45"/>
      <c r="J81" s="45"/>
    </row>
    <row r="82" customFormat="false" ht="18" hidden="false" customHeight="true" outlineLevel="0" collapsed="false">
      <c r="A82" s="44" t="str">
        <f aca="false">IF(B82="","",ROW()-4)</f>
        <v/>
      </c>
      <c r="B82" s="45"/>
      <c r="C82" s="46"/>
      <c r="D82" s="46"/>
      <c r="E82" s="46"/>
      <c r="F82" s="46"/>
      <c r="G82" s="47"/>
      <c r="H82" s="47"/>
      <c r="I82" s="45"/>
      <c r="J82" s="45"/>
    </row>
    <row r="83" customFormat="false" ht="18" hidden="false" customHeight="true" outlineLevel="0" collapsed="false">
      <c r="A83" s="44" t="str">
        <f aca="false">IF(B83="","",ROW()-4)</f>
        <v/>
      </c>
      <c r="B83" s="45"/>
      <c r="C83" s="46"/>
      <c r="D83" s="46"/>
      <c r="E83" s="46"/>
      <c r="F83" s="46"/>
      <c r="G83" s="47"/>
      <c r="H83" s="47"/>
      <c r="I83" s="45"/>
      <c r="J83" s="45"/>
    </row>
    <row r="84" customFormat="false" ht="18" hidden="false" customHeight="true" outlineLevel="0" collapsed="false">
      <c r="A84" s="44" t="str">
        <f aca="false">IF(B84="","",ROW()-4)</f>
        <v/>
      </c>
      <c r="B84" s="45"/>
      <c r="C84" s="46"/>
      <c r="D84" s="46"/>
      <c r="E84" s="46"/>
      <c r="F84" s="46"/>
      <c r="G84" s="47"/>
      <c r="H84" s="47"/>
      <c r="I84" s="45"/>
      <c r="J84" s="45"/>
    </row>
    <row r="85" customFormat="false" ht="18" hidden="false" customHeight="true" outlineLevel="0" collapsed="false">
      <c r="A85" s="44" t="str">
        <f aca="false">IF(B85="","",ROW()-4)</f>
        <v/>
      </c>
      <c r="B85" s="45"/>
      <c r="C85" s="46"/>
      <c r="D85" s="46"/>
      <c r="E85" s="46"/>
      <c r="F85" s="46"/>
      <c r="G85" s="47"/>
      <c r="H85" s="47"/>
      <c r="I85" s="45"/>
      <c r="J85" s="45"/>
    </row>
    <row r="86" customFormat="false" ht="18" hidden="false" customHeight="true" outlineLevel="0" collapsed="false">
      <c r="A86" s="44" t="str">
        <f aca="false">IF(B86="","",ROW()-4)</f>
        <v/>
      </c>
      <c r="B86" s="45"/>
      <c r="C86" s="46"/>
      <c r="D86" s="46"/>
      <c r="E86" s="46"/>
      <c r="F86" s="46"/>
      <c r="G86" s="47"/>
      <c r="H86" s="47"/>
      <c r="I86" s="45"/>
      <c r="J86" s="45"/>
    </row>
    <row r="87" customFormat="false" ht="18" hidden="false" customHeight="true" outlineLevel="0" collapsed="false">
      <c r="A87" s="44" t="str">
        <f aca="false">IF(B87="","",ROW()-4)</f>
        <v/>
      </c>
      <c r="B87" s="45"/>
      <c r="C87" s="46"/>
      <c r="D87" s="46"/>
      <c r="E87" s="46"/>
      <c r="F87" s="46"/>
      <c r="G87" s="47"/>
      <c r="H87" s="47"/>
      <c r="I87" s="45"/>
      <c r="J87" s="45"/>
    </row>
    <row r="88" customFormat="false" ht="18" hidden="false" customHeight="true" outlineLevel="0" collapsed="false">
      <c r="A88" s="44" t="str">
        <f aca="false">IF(B88="","",ROW()-4)</f>
        <v/>
      </c>
      <c r="B88" s="45"/>
      <c r="C88" s="46"/>
      <c r="D88" s="46"/>
      <c r="E88" s="46"/>
      <c r="F88" s="46"/>
      <c r="G88" s="47"/>
      <c r="H88" s="47"/>
      <c r="I88" s="45"/>
      <c r="J88" s="45"/>
    </row>
    <row r="89" customFormat="false" ht="18" hidden="false" customHeight="true" outlineLevel="0" collapsed="false">
      <c r="A89" s="44" t="str">
        <f aca="false">IF(B89="","",ROW()-4)</f>
        <v/>
      </c>
      <c r="B89" s="45"/>
      <c r="C89" s="46"/>
      <c r="D89" s="46"/>
      <c r="E89" s="46"/>
      <c r="F89" s="46"/>
      <c r="G89" s="47"/>
      <c r="H89" s="47"/>
      <c r="I89" s="45"/>
      <c r="J89" s="45"/>
    </row>
    <row r="90" customFormat="false" ht="18" hidden="false" customHeight="true" outlineLevel="0" collapsed="false">
      <c r="A90" s="44" t="str">
        <f aca="false">IF(B90="","",ROW()-4)</f>
        <v/>
      </c>
      <c r="B90" s="45"/>
      <c r="C90" s="46"/>
      <c r="D90" s="46"/>
      <c r="E90" s="46"/>
      <c r="F90" s="46"/>
      <c r="G90" s="47"/>
      <c r="H90" s="47"/>
      <c r="I90" s="45"/>
      <c r="J90" s="45"/>
    </row>
    <row r="91" customFormat="false" ht="18" hidden="false" customHeight="true" outlineLevel="0" collapsed="false">
      <c r="A91" s="44" t="str">
        <f aca="false">IF(B91="","",ROW()-4)</f>
        <v/>
      </c>
      <c r="B91" s="45"/>
      <c r="C91" s="46"/>
      <c r="D91" s="46"/>
      <c r="E91" s="46"/>
      <c r="F91" s="46"/>
      <c r="G91" s="47"/>
      <c r="H91" s="47"/>
      <c r="I91" s="45"/>
      <c r="J91" s="45"/>
    </row>
    <row r="92" customFormat="false" ht="18" hidden="false" customHeight="true" outlineLevel="0" collapsed="false">
      <c r="A92" s="44" t="str">
        <f aca="false">IF(B92="","",ROW()-4)</f>
        <v/>
      </c>
      <c r="B92" s="45"/>
      <c r="C92" s="46"/>
      <c r="D92" s="46"/>
      <c r="E92" s="46"/>
      <c r="F92" s="46"/>
      <c r="G92" s="47"/>
      <c r="H92" s="47"/>
      <c r="I92" s="45"/>
      <c r="J92" s="45"/>
    </row>
    <row r="93" customFormat="false" ht="18" hidden="false" customHeight="true" outlineLevel="0" collapsed="false">
      <c r="A93" s="44" t="str">
        <f aca="false">IF(B93="","",ROW()-4)</f>
        <v/>
      </c>
      <c r="B93" s="45"/>
      <c r="C93" s="46"/>
      <c r="D93" s="46"/>
      <c r="E93" s="46"/>
      <c r="F93" s="46"/>
      <c r="G93" s="47"/>
      <c r="H93" s="47"/>
      <c r="I93" s="45"/>
      <c r="J93" s="45"/>
    </row>
    <row r="94" customFormat="false" ht="18" hidden="false" customHeight="true" outlineLevel="0" collapsed="false">
      <c r="A94" s="44" t="str">
        <f aca="false">IF(B94="","",ROW()-4)</f>
        <v/>
      </c>
      <c r="B94" s="45"/>
      <c r="C94" s="46"/>
      <c r="D94" s="46"/>
      <c r="E94" s="46"/>
      <c r="F94" s="46"/>
      <c r="G94" s="47"/>
      <c r="H94" s="47"/>
      <c r="I94" s="45"/>
      <c r="J94" s="45"/>
    </row>
    <row r="95" customFormat="false" ht="18" hidden="false" customHeight="true" outlineLevel="0" collapsed="false">
      <c r="A95" s="44" t="str">
        <f aca="false">IF(B95="","",ROW()-4)</f>
        <v/>
      </c>
      <c r="B95" s="45"/>
      <c r="C95" s="46"/>
      <c r="D95" s="46"/>
      <c r="E95" s="46"/>
      <c r="F95" s="46"/>
      <c r="G95" s="47"/>
      <c r="H95" s="47"/>
      <c r="I95" s="45"/>
      <c r="J95" s="45"/>
    </row>
    <row r="96" customFormat="false" ht="18" hidden="false" customHeight="true" outlineLevel="0" collapsed="false">
      <c r="A96" s="44" t="str">
        <f aca="false">IF(B96="","",ROW()-4)</f>
        <v/>
      </c>
      <c r="B96" s="45"/>
      <c r="C96" s="46"/>
      <c r="D96" s="46"/>
      <c r="E96" s="46"/>
      <c r="F96" s="46"/>
      <c r="G96" s="47"/>
      <c r="H96" s="47"/>
      <c r="I96" s="45"/>
      <c r="J96" s="45"/>
    </row>
    <row r="97" customFormat="false" ht="18" hidden="false" customHeight="true" outlineLevel="0" collapsed="false">
      <c r="A97" s="44" t="str">
        <f aca="false">IF(B97="","",ROW()-4)</f>
        <v/>
      </c>
      <c r="B97" s="45"/>
      <c r="C97" s="46"/>
      <c r="D97" s="46"/>
      <c r="E97" s="46"/>
      <c r="F97" s="46"/>
      <c r="G97" s="47"/>
      <c r="H97" s="47"/>
      <c r="I97" s="45"/>
      <c r="J97" s="45"/>
    </row>
    <row r="98" customFormat="false" ht="18" hidden="false" customHeight="true" outlineLevel="0" collapsed="false">
      <c r="A98" s="44" t="str">
        <f aca="false">IF(B98="","",ROW()-4)</f>
        <v/>
      </c>
      <c r="B98" s="45"/>
      <c r="C98" s="46"/>
      <c r="D98" s="46"/>
      <c r="E98" s="46"/>
      <c r="F98" s="46"/>
      <c r="G98" s="47"/>
      <c r="H98" s="47"/>
      <c r="I98" s="45"/>
      <c r="J98" s="45"/>
    </row>
    <row r="99" customFormat="false" ht="18" hidden="false" customHeight="true" outlineLevel="0" collapsed="false">
      <c r="A99" s="44" t="str">
        <f aca="false">IF(B99="","",ROW()-4)</f>
        <v/>
      </c>
      <c r="B99" s="45"/>
      <c r="C99" s="46"/>
      <c r="D99" s="46"/>
      <c r="E99" s="46"/>
      <c r="F99" s="46"/>
      <c r="G99" s="47"/>
      <c r="H99" s="47"/>
      <c r="I99" s="45"/>
      <c r="J99" s="45"/>
    </row>
    <row r="100" customFormat="false" ht="18" hidden="false" customHeight="true" outlineLevel="0" collapsed="false">
      <c r="A100" s="44" t="str">
        <f aca="false">IF(B100="","",ROW()-4)</f>
        <v/>
      </c>
      <c r="B100" s="45"/>
      <c r="C100" s="46"/>
      <c r="D100" s="46"/>
      <c r="E100" s="46"/>
      <c r="F100" s="46"/>
      <c r="G100" s="47"/>
      <c r="H100" s="47"/>
      <c r="I100" s="45"/>
      <c r="J100" s="45"/>
    </row>
    <row r="101" customFormat="false" ht="18" hidden="false" customHeight="true" outlineLevel="0" collapsed="false">
      <c r="A101" s="44" t="str">
        <f aca="false">IF(B101="","",ROW()-4)</f>
        <v/>
      </c>
      <c r="B101" s="45"/>
      <c r="C101" s="46"/>
      <c r="D101" s="46"/>
      <c r="E101" s="46"/>
      <c r="F101" s="46"/>
      <c r="G101" s="47"/>
      <c r="H101" s="47"/>
      <c r="I101" s="45"/>
      <c r="J101" s="45"/>
    </row>
    <row r="102" customFormat="false" ht="18" hidden="false" customHeight="true" outlineLevel="0" collapsed="false">
      <c r="A102" s="44" t="str">
        <f aca="false">IF(B102="","",ROW()-4)</f>
        <v/>
      </c>
      <c r="B102" s="45"/>
      <c r="C102" s="46"/>
      <c r="D102" s="46"/>
      <c r="E102" s="46"/>
      <c r="F102" s="46"/>
      <c r="G102" s="47"/>
      <c r="H102" s="47"/>
      <c r="I102" s="45"/>
      <c r="J102" s="45"/>
    </row>
    <row r="103" customFormat="false" ht="18" hidden="false" customHeight="true" outlineLevel="0" collapsed="false">
      <c r="A103" s="44" t="str">
        <f aca="false">IF(B103="","",ROW()-4)</f>
        <v/>
      </c>
      <c r="B103" s="45"/>
      <c r="C103" s="46"/>
      <c r="D103" s="46"/>
      <c r="E103" s="46"/>
      <c r="F103" s="46"/>
      <c r="G103" s="47"/>
      <c r="H103" s="47"/>
      <c r="I103" s="45"/>
      <c r="J103" s="45"/>
    </row>
    <row r="104" customFormat="false" ht="18" hidden="false" customHeight="true" outlineLevel="0" collapsed="false">
      <c r="A104" s="44" t="str">
        <f aca="false">IF(B104="","",ROW()-4)</f>
        <v/>
      </c>
      <c r="B104" s="45"/>
      <c r="C104" s="46"/>
      <c r="D104" s="46"/>
      <c r="E104" s="46"/>
      <c r="F104" s="46"/>
      <c r="G104" s="47"/>
      <c r="H104" s="47"/>
      <c r="I104" s="45"/>
      <c r="J104" s="45"/>
    </row>
    <row r="105" customFormat="false" ht="18" hidden="false" customHeight="true" outlineLevel="0" collapsed="false">
      <c r="A105" s="44" t="str">
        <f aca="false">IF(B105="","",ROW()-4)</f>
        <v/>
      </c>
      <c r="B105" s="45"/>
      <c r="C105" s="46"/>
      <c r="D105" s="46"/>
      <c r="E105" s="46"/>
      <c r="F105" s="46"/>
      <c r="G105" s="47"/>
      <c r="H105" s="47"/>
      <c r="I105" s="45"/>
      <c r="J105" s="45"/>
    </row>
    <row r="106" customFormat="false" ht="18" hidden="false" customHeight="true" outlineLevel="0" collapsed="false">
      <c r="A106" s="44" t="str">
        <f aca="false">IF(B106="","",ROW()-4)</f>
        <v/>
      </c>
      <c r="B106" s="45"/>
      <c r="C106" s="46"/>
      <c r="D106" s="46"/>
      <c r="E106" s="46"/>
      <c r="F106" s="46"/>
      <c r="G106" s="47"/>
      <c r="H106" s="47"/>
      <c r="I106" s="45"/>
      <c r="J106" s="45"/>
    </row>
    <row r="107" customFormat="false" ht="18" hidden="false" customHeight="true" outlineLevel="0" collapsed="false">
      <c r="A107" s="44" t="str">
        <f aca="false">IF(B107="","",ROW()-4)</f>
        <v/>
      </c>
      <c r="B107" s="45"/>
      <c r="C107" s="46"/>
      <c r="D107" s="46"/>
      <c r="E107" s="46"/>
      <c r="F107" s="46"/>
      <c r="G107" s="47"/>
      <c r="H107" s="47"/>
      <c r="I107" s="45"/>
      <c r="J107" s="45"/>
    </row>
    <row r="108" customFormat="false" ht="18" hidden="false" customHeight="true" outlineLevel="0" collapsed="false">
      <c r="A108" s="44" t="str">
        <f aca="false">IF(B108="","",ROW()-4)</f>
        <v/>
      </c>
      <c r="B108" s="45"/>
      <c r="C108" s="46"/>
      <c r="D108" s="46"/>
      <c r="E108" s="46"/>
      <c r="F108" s="46"/>
      <c r="G108" s="47"/>
      <c r="H108" s="47"/>
      <c r="I108" s="45"/>
      <c r="J108" s="45"/>
    </row>
    <row r="109" customFormat="false" ht="18" hidden="false" customHeight="true" outlineLevel="0" collapsed="false">
      <c r="A109" s="44" t="str">
        <f aca="false">IF(B109="","",ROW()-4)</f>
        <v/>
      </c>
      <c r="B109" s="45"/>
      <c r="C109" s="46"/>
      <c r="D109" s="46"/>
      <c r="E109" s="46"/>
      <c r="F109" s="46"/>
      <c r="G109" s="47"/>
      <c r="H109" s="47"/>
      <c r="I109" s="45"/>
      <c r="J109" s="45"/>
    </row>
    <row r="110" customFormat="false" ht="18" hidden="false" customHeight="true" outlineLevel="0" collapsed="false">
      <c r="A110" s="44" t="str">
        <f aca="false">IF(B110="","",ROW()-4)</f>
        <v/>
      </c>
      <c r="B110" s="45"/>
      <c r="C110" s="46"/>
      <c r="D110" s="46"/>
      <c r="E110" s="46"/>
      <c r="F110" s="46"/>
      <c r="G110" s="47"/>
      <c r="H110" s="47"/>
      <c r="I110" s="45"/>
      <c r="J110" s="45"/>
    </row>
    <row r="111" customFormat="false" ht="18" hidden="false" customHeight="true" outlineLevel="0" collapsed="false">
      <c r="A111" s="44" t="str">
        <f aca="false">IF(B111="","",ROW()-4)</f>
        <v/>
      </c>
      <c r="B111" s="45"/>
      <c r="C111" s="46"/>
      <c r="D111" s="46"/>
      <c r="E111" s="46"/>
      <c r="F111" s="46"/>
      <c r="G111" s="47"/>
      <c r="H111" s="47"/>
      <c r="I111" s="45"/>
      <c r="J111" s="45"/>
    </row>
    <row r="112" customFormat="false" ht="18" hidden="false" customHeight="true" outlineLevel="0" collapsed="false">
      <c r="A112" s="44" t="str">
        <f aca="false">IF(B112="","",ROW()-4)</f>
        <v/>
      </c>
      <c r="B112" s="45"/>
      <c r="C112" s="46"/>
      <c r="D112" s="46"/>
      <c r="E112" s="46"/>
      <c r="F112" s="46"/>
      <c r="G112" s="47"/>
      <c r="H112" s="47"/>
      <c r="I112" s="45"/>
      <c r="J112" s="45"/>
    </row>
    <row r="113" customFormat="false" ht="18" hidden="false" customHeight="true" outlineLevel="0" collapsed="false">
      <c r="A113" s="44" t="str">
        <f aca="false">IF(B113="","",ROW()-4)</f>
        <v/>
      </c>
      <c r="B113" s="45"/>
      <c r="C113" s="46"/>
      <c r="D113" s="46"/>
      <c r="E113" s="46"/>
      <c r="F113" s="46"/>
      <c r="G113" s="47"/>
      <c r="H113" s="47"/>
      <c r="I113" s="45"/>
      <c r="J113" s="45"/>
    </row>
    <row r="114" customFormat="false" ht="18" hidden="false" customHeight="true" outlineLevel="0" collapsed="false">
      <c r="A114" s="44" t="str">
        <f aca="false">IF(B114="","",ROW()-4)</f>
        <v/>
      </c>
      <c r="B114" s="45"/>
      <c r="C114" s="46"/>
      <c r="D114" s="46"/>
      <c r="E114" s="46"/>
      <c r="F114" s="46"/>
      <c r="G114" s="47"/>
      <c r="H114" s="47"/>
      <c r="I114" s="45"/>
      <c r="J114" s="45"/>
    </row>
    <row r="115" customFormat="false" ht="18" hidden="false" customHeight="true" outlineLevel="0" collapsed="false">
      <c r="A115" s="44" t="str">
        <f aca="false">IF(B115="","",ROW()-4)</f>
        <v/>
      </c>
      <c r="B115" s="45"/>
      <c r="C115" s="46"/>
      <c r="D115" s="46"/>
      <c r="E115" s="46"/>
      <c r="F115" s="46"/>
      <c r="G115" s="47"/>
      <c r="H115" s="47"/>
      <c r="I115" s="45"/>
      <c r="J115" s="45"/>
    </row>
    <row r="116" customFormat="false" ht="18" hidden="false" customHeight="true" outlineLevel="0" collapsed="false">
      <c r="A116" s="44" t="str">
        <f aca="false">IF(B116="","",ROW()-4)</f>
        <v/>
      </c>
      <c r="B116" s="45"/>
      <c r="C116" s="46"/>
      <c r="D116" s="46"/>
      <c r="E116" s="46"/>
      <c r="F116" s="46"/>
      <c r="G116" s="47"/>
      <c r="H116" s="47"/>
      <c r="I116" s="45"/>
      <c r="J116" s="45"/>
    </row>
    <row r="117" customFormat="false" ht="18" hidden="false" customHeight="true" outlineLevel="0" collapsed="false">
      <c r="A117" s="44" t="str">
        <f aca="false">IF(B117="","",ROW()-4)</f>
        <v/>
      </c>
      <c r="B117" s="45"/>
      <c r="C117" s="46"/>
      <c r="D117" s="46"/>
      <c r="E117" s="46"/>
      <c r="F117" s="46"/>
      <c r="G117" s="47"/>
      <c r="H117" s="47"/>
      <c r="I117" s="45"/>
      <c r="J117" s="45"/>
    </row>
    <row r="118" customFormat="false" ht="18" hidden="false" customHeight="true" outlineLevel="0" collapsed="false">
      <c r="A118" s="44" t="str">
        <f aca="false">IF(B118="","",ROW()-4)</f>
        <v/>
      </c>
      <c r="B118" s="45"/>
      <c r="C118" s="46"/>
      <c r="D118" s="46"/>
      <c r="E118" s="46"/>
      <c r="F118" s="46"/>
      <c r="G118" s="47"/>
      <c r="H118" s="47"/>
      <c r="I118" s="45"/>
      <c r="J118" s="45"/>
    </row>
    <row r="119" customFormat="false" ht="18" hidden="false" customHeight="true" outlineLevel="0" collapsed="false">
      <c r="A119" s="44" t="str">
        <f aca="false">IF(B119="","",ROW()-4)</f>
        <v/>
      </c>
      <c r="B119" s="45"/>
      <c r="C119" s="46"/>
      <c r="D119" s="46"/>
      <c r="E119" s="46"/>
      <c r="F119" s="46"/>
      <c r="G119" s="47"/>
      <c r="H119" s="47"/>
      <c r="I119" s="45"/>
      <c r="J119" s="45"/>
    </row>
    <row r="120" customFormat="false" ht="18" hidden="false" customHeight="true" outlineLevel="0" collapsed="false">
      <c r="A120" s="44" t="str">
        <f aca="false">IF(B120="","",ROW()-4)</f>
        <v/>
      </c>
      <c r="B120" s="45"/>
      <c r="C120" s="46"/>
      <c r="D120" s="46"/>
      <c r="E120" s="46"/>
      <c r="F120" s="46"/>
      <c r="G120" s="47"/>
      <c r="H120" s="47"/>
      <c r="I120" s="45"/>
      <c r="J120" s="45"/>
    </row>
    <row r="121" customFormat="false" ht="18" hidden="false" customHeight="true" outlineLevel="0" collapsed="false">
      <c r="A121" s="44" t="str">
        <f aca="false">IF(B121="","",ROW()-4)</f>
        <v/>
      </c>
      <c r="B121" s="45"/>
      <c r="C121" s="46"/>
      <c r="D121" s="46"/>
      <c r="E121" s="46"/>
      <c r="F121" s="46"/>
      <c r="G121" s="47"/>
      <c r="H121" s="47"/>
      <c r="I121" s="45"/>
      <c r="J121" s="45"/>
    </row>
    <row r="122" customFormat="false" ht="18" hidden="false" customHeight="true" outlineLevel="0" collapsed="false">
      <c r="A122" s="44" t="str">
        <f aca="false">IF(B122="","",ROW()-4)</f>
        <v/>
      </c>
      <c r="B122" s="45"/>
      <c r="C122" s="46"/>
      <c r="D122" s="46"/>
      <c r="E122" s="46"/>
      <c r="F122" s="46"/>
      <c r="G122" s="47"/>
      <c r="H122" s="47"/>
      <c r="I122" s="45"/>
      <c r="J122" s="45"/>
    </row>
    <row r="123" customFormat="false" ht="18" hidden="false" customHeight="true" outlineLevel="0" collapsed="false">
      <c r="A123" s="44" t="str">
        <f aca="false">IF(B123="","",ROW()-4)</f>
        <v/>
      </c>
      <c r="B123" s="45"/>
      <c r="C123" s="46"/>
      <c r="D123" s="46"/>
      <c r="E123" s="46"/>
      <c r="F123" s="46"/>
      <c r="G123" s="47"/>
      <c r="H123" s="47"/>
      <c r="I123" s="45"/>
      <c r="J123" s="45"/>
    </row>
    <row r="124" customFormat="false" ht="18" hidden="false" customHeight="true" outlineLevel="0" collapsed="false">
      <c r="A124" s="44" t="str">
        <f aca="false">IF(B124="","",ROW()-4)</f>
        <v/>
      </c>
      <c r="B124" s="45"/>
      <c r="C124" s="46"/>
      <c r="D124" s="46"/>
      <c r="E124" s="46"/>
      <c r="F124" s="46"/>
      <c r="G124" s="47"/>
      <c r="H124" s="47"/>
      <c r="I124" s="45"/>
      <c r="J124" s="45"/>
    </row>
    <row r="125" customFormat="false" ht="18" hidden="false" customHeight="true" outlineLevel="0" collapsed="false">
      <c r="A125" s="44" t="str">
        <f aca="false">IF(B125="","",ROW()-4)</f>
        <v/>
      </c>
      <c r="B125" s="45"/>
      <c r="C125" s="46"/>
      <c r="D125" s="46"/>
      <c r="E125" s="46"/>
      <c r="F125" s="46"/>
      <c r="G125" s="47"/>
      <c r="H125" s="47"/>
      <c r="I125" s="45"/>
      <c r="J125" s="45"/>
    </row>
    <row r="126" customFormat="false" ht="18" hidden="false" customHeight="true" outlineLevel="0" collapsed="false">
      <c r="A126" s="44" t="str">
        <f aca="false">IF(B126="","",ROW()-4)</f>
        <v/>
      </c>
      <c r="B126" s="45"/>
      <c r="C126" s="46"/>
      <c r="D126" s="46"/>
      <c r="E126" s="46"/>
      <c r="F126" s="46"/>
      <c r="G126" s="47"/>
      <c r="H126" s="47"/>
      <c r="I126" s="45"/>
      <c r="J126" s="45"/>
    </row>
    <row r="127" customFormat="false" ht="18" hidden="false" customHeight="true" outlineLevel="0" collapsed="false">
      <c r="A127" s="44" t="str">
        <f aca="false">IF(B127="","",ROW()-4)</f>
        <v/>
      </c>
      <c r="B127" s="45"/>
      <c r="C127" s="46"/>
      <c r="D127" s="46"/>
      <c r="E127" s="46"/>
      <c r="F127" s="46"/>
      <c r="G127" s="47"/>
      <c r="H127" s="47"/>
      <c r="I127" s="45"/>
      <c r="J127" s="45"/>
    </row>
    <row r="128" customFormat="false" ht="18" hidden="false" customHeight="true" outlineLevel="0" collapsed="false">
      <c r="A128" s="44" t="str">
        <f aca="false">IF(B128="","",ROW()-4)</f>
        <v/>
      </c>
      <c r="B128" s="45"/>
      <c r="C128" s="46"/>
      <c r="D128" s="46"/>
      <c r="E128" s="46"/>
      <c r="F128" s="46"/>
      <c r="G128" s="47"/>
      <c r="H128" s="47"/>
      <c r="I128" s="45"/>
      <c r="J128" s="45"/>
    </row>
    <row r="129" customFormat="false" ht="18" hidden="false" customHeight="true" outlineLevel="0" collapsed="false">
      <c r="A129" s="44" t="str">
        <f aca="false">IF(B129="","",ROW()-4)</f>
        <v/>
      </c>
      <c r="B129" s="45"/>
      <c r="C129" s="46"/>
      <c r="D129" s="46"/>
      <c r="E129" s="46"/>
      <c r="F129" s="46"/>
      <c r="G129" s="47"/>
      <c r="H129" s="47"/>
      <c r="I129" s="45"/>
      <c r="J129" s="45"/>
    </row>
    <row r="130" customFormat="false" ht="18" hidden="false" customHeight="true" outlineLevel="0" collapsed="false">
      <c r="A130" s="44" t="str">
        <f aca="false">IF(B130="","",ROW()-4)</f>
        <v/>
      </c>
      <c r="B130" s="45"/>
      <c r="C130" s="46"/>
      <c r="D130" s="46"/>
      <c r="E130" s="46"/>
      <c r="F130" s="46"/>
      <c r="G130" s="47"/>
      <c r="H130" s="47"/>
      <c r="I130" s="45"/>
      <c r="J130" s="45"/>
    </row>
    <row r="131" customFormat="false" ht="18" hidden="false" customHeight="true" outlineLevel="0" collapsed="false">
      <c r="A131" s="44" t="str">
        <f aca="false">IF(B131="","",ROW()-4)</f>
        <v/>
      </c>
      <c r="B131" s="45"/>
      <c r="C131" s="46"/>
      <c r="D131" s="46"/>
      <c r="E131" s="46"/>
      <c r="F131" s="46"/>
      <c r="G131" s="47"/>
      <c r="H131" s="47"/>
      <c r="I131" s="45"/>
      <c r="J131" s="45"/>
    </row>
    <row r="132" customFormat="false" ht="18" hidden="false" customHeight="true" outlineLevel="0" collapsed="false">
      <c r="A132" s="44" t="str">
        <f aca="false">IF(B132="","",ROW()-4)</f>
        <v/>
      </c>
      <c r="B132" s="45"/>
      <c r="C132" s="46"/>
      <c r="D132" s="46"/>
      <c r="E132" s="46"/>
      <c r="F132" s="46"/>
      <c r="G132" s="47"/>
      <c r="H132" s="47"/>
      <c r="I132" s="45"/>
      <c r="J132" s="45"/>
    </row>
    <row r="133" customFormat="false" ht="18" hidden="false" customHeight="true" outlineLevel="0" collapsed="false">
      <c r="A133" s="44" t="str">
        <f aca="false">IF(B133="","",ROW()-4)</f>
        <v/>
      </c>
      <c r="B133" s="45"/>
      <c r="C133" s="46"/>
      <c r="D133" s="46"/>
      <c r="E133" s="46"/>
      <c r="F133" s="46"/>
      <c r="G133" s="47"/>
      <c r="H133" s="47"/>
      <c r="I133" s="45"/>
      <c r="J133" s="45"/>
    </row>
    <row r="134" customFormat="false" ht="18" hidden="false" customHeight="true" outlineLevel="0" collapsed="false">
      <c r="A134" s="44" t="str">
        <f aca="false">IF(B134="","",ROW()-4)</f>
        <v/>
      </c>
      <c r="B134" s="45"/>
      <c r="C134" s="46"/>
      <c r="D134" s="46"/>
      <c r="E134" s="46"/>
      <c r="F134" s="46"/>
      <c r="G134" s="47"/>
      <c r="H134" s="47"/>
      <c r="I134" s="45"/>
      <c r="J134" s="45"/>
    </row>
    <row r="135" customFormat="false" ht="18" hidden="false" customHeight="true" outlineLevel="0" collapsed="false">
      <c r="A135" s="44" t="str">
        <f aca="false">IF(B135="","",ROW()-4)</f>
        <v/>
      </c>
      <c r="B135" s="45"/>
      <c r="C135" s="46"/>
      <c r="D135" s="46"/>
      <c r="E135" s="46"/>
      <c r="F135" s="46"/>
      <c r="G135" s="47"/>
      <c r="H135" s="47"/>
      <c r="I135" s="45"/>
      <c r="J135" s="45"/>
    </row>
    <row r="136" customFormat="false" ht="18" hidden="false" customHeight="true" outlineLevel="0" collapsed="false">
      <c r="A136" s="44" t="str">
        <f aca="false">IF(B136="","",ROW()-4)</f>
        <v/>
      </c>
      <c r="B136" s="45"/>
      <c r="C136" s="46"/>
      <c r="D136" s="46"/>
      <c r="E136" s="46"/>
      <c r="F136" s="46"/>
      <c r="G136" s="47"/>
      <c r="H136" s="47"/>
      <c r="I136" s="45"/>
      <c r="J136" s="45"/>
    </row>
    <row r="137" customFormat="false" ht="18" hidden="false" customHeight="true" outlineLevel="0" collapsed="false">
      <c r="A137" s="44" t="str">
        <f aca="false">IF(B137="","",ROW()-4)</f>
        <v/>
      </c>
      <c r="B137" s="45"/>
      <c r="C137" s="46"/>
      <c r="D137" s="46"/>
      <c r="E137" s="46"/>
      <c r="F137" s="46"/>
      <c r="G137" s="47"/>
      <c r="H137" s="47"/>
      <c r="I137" s="45"/>
      <c r="J137" s="45"/>
    </row>
    <row r="138" customFormat="false" ht="18" hidden="false" customHeight="true" outlineLevel="0" collapsed="false">
      <c r="A138" s="44" t="str">
        <f aca="false">IF(B138="","",ROW()-4)</f>
        <v/>
      </c>
      <c r="B138" s="45"/>
      <c r="C138" s="46"/>
      <c r="D138" s="46"/>
      <c r="E138" s="46"/>
      <c r="F138" s="46"/>
      <c r="G138" s="47"/>
      <c r="H138" s="47"/>
      <c r="I138" s="45"/>
      <c r="J138" s="45"/>
    </row>
    <row r="139" customFormat="false" ht="18" hidden="false" customHeight="true" outlineLevel="0" collapsed="false">
      <c r="A139" s="44" t="str">
        <f aca="false">IF(B139="","",ROW()-4)</f>
        <v/>
      </c>
      <c r="B139" s="45"/>
      <c r="C139" s="46"/>
      <c r="D139" s="46"/>
      <c r="E139" s="46"/>
      <c r="F139" s="46"/>
      <c r="G139" s="47"/>
      <c r="H139" s="47"/>
      <c r="I139" s="45"/>
      <c r="J139" s="45"/>
    </row>
    <row r="140" customFormat="false" ht="18" hidden="false" customHeight="true" outlineLevel="0" collapsed="false">
      <c r="A140" s="44" t="str">
        <f aca="false">IF(B140="","",ROW()-4)</f>
        <v/>
      </c>
      <c r="B140" s="45"/>
      <c r="C140" s="46"/>
      <c r="D140" s="46"/>
      <c r="E140" s="46"/>
      <c r="F140" s="46"/>
      <c r="G140" s="47"/>
      <c r="H140" s="47"/>
      <c r="I140" s="45"/>
      <c r="J140" s="45"/>
    </row>
    <row r="141" customFormat="false" ht="18" hidden="false" customHeight="true" outlineLevel="0" collapsed="false">
      <c r="A141" s="44" t="str">
        <f aca="false">IF(B141="","",ROW()-4)</f>
        <v/>
      </c>
      <c r="B141" s="45"/>
      <c r="C141" s="46"/>
      <c r="D141" s="46"/>
      <c r="E141" s="46"/>
      <c r="F141" s="46"/>
      <c r="G141" s="47"/>
      <c r="H141" s="47"/>
      <c r="I141" s="45"/>
      <c r="J141" s="45"/>
    </row>
    <row r="142" customFormat="false" ht="18" hidden="false" customHeight="true" outlineLevel="0" collapsed="false">
      <c r="A142" s="44" t="str">
        <f aca="false">IF(B142="","",ROW()-4)</f>
        <v/>
      </c>
      <c r="B142" s="45"/>
      <c r="C142" s="46"/>
      <c r="D142" s="46"/>
      <c r="E142" s="46"/>
      <c r="F142" s="46"/>
      <c r="G142" s="47"/>
      <c r="H142" s="47"/>
      <c r="I142" s="45"/>
      <c r="J142" s="45"/>
    </row>
    <row r="143" customFormat="false" ht="18" hidden="false" customHeight="true" outlineLevel="0" collapsed="false">
      <c r="A143" s="44" t="str">
        <f aca="false">IF(B143="","",ROW()-4)</f>
        <v/>
      </c>
      <c r="B143" s="45"/>
      <c r="C143" s="46"/>
      <c r="D143" s="46"/>
      <c r="E143" s="46"/>
      <c r="F143" s="46"/>
      <c r="G143" s="47"/>
      <c r="H143" s="47"/>
      <c r="I143" s="45"/>
      <c r="J143" s="45"/>
    </row>
    <row r="144" customFormat="false" ht="18" hidden="false" customHeight="true" outlineLevel="0" collapsed="false">
      <c r="A144" s="44" t="str">
        <f aca="false">IF(B144="","",ROW()-4)</f>
        <v/>
      </c>
      <c r="B144" s="45"/>
      <c r="C144" s="46"/>
      <c r="D144" s="46"/>
      <c r="E144" s="46"/>
      <c r="F144" s="46"/>
      <c r="G144" s="47"/>
      <c r="H144" s="47"/>
      <c r="I144" s="45"/>
      <c r="J144" s="45"/>
    </row>
    <row r="145" customFormat="false" ht="18" hidden="false" customHeight="true" outlineLevel="0" collapsed="false">
      <c r="A145" s="44" t="str">
        <f aca="false">IF(B145="","",ROW()-4)</f>
        <v/>
      </c>
      <c r="B145" s="45"/>
      <c r="C145" s="46"/>
      <c r="D145" s="46"/>
      <c r="E145" s="46"/>
      <c r="F145" s="46"/>
      <c r="G145" s="47"/>
      <c r="H145" s="47"/>
      <c r="I145" s="45"/>
      <c r="J145" s="45"/>
    </row>
    <row r="146" customFormat="false" ht="18" hidden="false" customHeight="true" outlineLevel="0" collapsed="false">
      <c r="A146" s="44" t="str">
        <f aca="false">IF(B146="","",ROW()-4)</f>
        <v/>
      </c>
      <c r="B146" s="45"/>
      <c r="C146" s="46"/>
      <c r="D146" s="46"/>
      <c r="E146" s="46"/>
      <c r="F146" s="46"/>
      <c r="G146" s="47"/>
      <c r="H146" s="47"/>
      <c r="I146" s="45"/>
      <c r="J146" s="45"/>
    </row>
    <row r="147" customFormat="false" ht="18" hidden="false" customHeight="true" outlineLevel="0" collapsed="false">
      <c r="A147" s="44" t="str">
        <f aca="false">IF(B147="","",ROW()-4)</f>
        <v/>
      </c>
      <c r="B147" s="45"/>
      <c r="C147" s="46"/>
      <c r="D147" s="46"/>
      <c r="E147" s="46"/>
      <c r="F147" s="46"/>
      <c r="G147" s="47"/>
      <c r="H147" s="47"/>
      <c r="I147" s="45"/>
      <c r="J147" s="45"/>
    </row>
    <row r="148" customFormat="false" ht="18" hidden="false" customHeight="true" outlineLevel="0" collapsed="false">
      <c r="A148" s="44" t="str">
        <f aca="false">IF(B148="","",ROW()-4)</f>
        <v/>
      </c>
      <c r="B148" s="45"/>
      <c r="C148" s="46"/>
      <c r="D148" s="46"/>
      <c r="E148" s="46"/>
      <c r="F148" s="46"/>
      <c r="G148" s="47"/>
      <c r="H148" s="47"/>
      <c r="I148" s="45"/>
      <c r="J148" s="45"/>
    </row>
    <row r="149" customFormat="false" ht="18" hidden="false" customHeight="true" outlineLevel="0" collapsed="false">
      <c r="A149" s="44" t="str">
        <f aca="false">IF(B149="","",ROW()-4)</f>
        <v/>
      </c>
      <c r="B149" s="45"/>
      <c r="C149" s="46"/>
      <c r="D149" s="46"/>
      <c r="E149" s="46"/>
      <c r="F149" s="46"/>
      <c r="G149" s="47"/>
      <c r="H149" s="47"/>
      <c r="I149" s="45"/>
      <c r="J149" s="45"/>
    </row>
    <row r="150" customFormat="false" ht="18" hidden="false" customHeight="true" outlineLevel="0" collapsed="false">
      <c r="A150" s="44" t="str">
        <f aca="false">IF(B150="","",ROW()-4)</f>
        <v/>
      </c>
      <c r="B150" s="45"/>
      <c r="C150" s="46"/>
      <c r="D150" s="46"/>
      <c r="E150" s="46"/>
      <c r="F150" s="46"/>
      <c r="G150" s="47"/>
      <c r="H150" s="47"/>
      <c r="I150" s="45"/>
      <c r="J150" s="45"/>
    </row>
    <row r="151" customFormat="false" ht="18" hidden="false" customHeight="true" outlineLevel="0" collapsed="false">
      <c r="A151" s="44" t="str">
        <f aca="false">IF(B151="","",ROW()-4)</f>
        <v/>
      </c>
      <c r="B151" s="45"/>
      <c r="C151" s="46"/>
      <c r="D151" s="46"/>
      <c r="E151" s="46"/>
      <c r="F151" s="46"/>
      <c r="G151" s="47"/>
      <c r="H151" s="47"/>
      <c r="I151" s="45"/>
      <c r="J151" s="45"/>
    </row>
    <row r="152" customFormat="false" ht="18" hidden="false" customHeight="true" outlineLevel="0" collapsed="false">
      <c r="A152" s="44" t="str">
        <f aca="false">IF(B152="","",ROW()-4)</f>
        <v/>
      </c>
      <c r="B152" s="45"/>
      <c r="C152" s="46"/>
      <c r="D152" s="46"/>
      <c r="E152" s="46"/>
      <c r="F152" s="46"/>
      <c r="G152" s="47"/>
      <c r="H152" s="47"/>
      <c r="I152" s="45"/>
      <c r="J152" s="45"/>
    </row>
    <row r="153" customFormat="false" ht="18" hidden="false" customHeight="true" outlineLevel="0" collapsed="false">
      <c r="A153" s="44" t="str">
        <f aca="false">IF(B153="","",ROW()-4)</f>
        <v/>
      </c>
      <c r="B153" s="45"/>
      <c r="C153" s="46"/>
      <c r="D153" s="46"/>
      <c r="E153" s="46"/>
      <c r="F153" s="46"/>
      <c r="G153" s="47"/>
      <c r="H153" s="47"/>
      <c r="I153" s="45"/>
      <c r="J153" s="45"/>
    </row>
    <row r="154" customFormat="false" ht="18" hidden="false" customHeight="true" outlineLevel="0" collapsed="false">
      <c r="A154" s="44" t="str">
        <f aca="false">IF(B154="","",ROW()-4)</f>
        <v/>
      </c>
      <c r="B154" s="45"/>
      <c r="C154" s="46"/>
      <c r="D154" s="46"/>
      <c r="E154" s="46"/>
      <c r="F154" s="46"/>
      <c r="G154" s="47"/>
      <c r="H154" s="47"/>
      <c r="I154" s="45"/>
      <c r="J154" s="45"/>
    </row>
    <row r="155" customFormat="false" ht="18" hidden="false" customHeight="true" outlineLevel="0" collapsed="false">
      <c r="A155" s="44" t="str">
        <f aca="false">IF(B155="","",ROW()-4)</f>
        <v/>
      </c>
      <c r="B155" s="45"/>
      <c r="C155" s="46"/>
      <c r="D155" s="46"/>
      <c r="E155" s="46"/>
      <c r="F155" s="46"/>
      <c r="G155" s="47"/>
      <c r="H155" s="47"/>
      <c r="I155" s="45"/>
      <c r="J155" s="45"/>
    </row>
    <row r="156" customFormat="false" ht="18" hidden="false" customHeight="true" outlineLevel="0" collapsed="false">
      <c r="A156" s="44" t="str">
        <f aca="false">IF(B156="","",ROW()-4)</f>
        <v/>
      </c>
      <c r="B156" s="45"/>
      <c r="C156" s="46"/>
      <c r="D156" s="46"/>
      <c r="E156" s="46"/>
      <c r="F156" s="46"/>
      <c r="G156" s="47"/>
      <c r="H156" s="47"/>
      <c r="I156" s="45"/>
      <c r="J156" s="45"/>
    </row>
    <row r="157" customFormat="false" ht="18" hidden="false" customHeight="true" outlineLevel="0" collapsed="false">
      <c r="A157" s="44" t="str">
        <f aca="false">IF(B157="","",ROW()-4)</f>
        <v/>
      </c>
      <c r="B157" s="45"/>
      <c r="C157" s="46"/>
      <c r="D157" s="46"/>
      <c r="E157" s="46"/>
      <c r="F157" s="46"/>
      <c r="G157" s="47"/>
      <c r="H157" s="47"/>
      <c r="I157" s="45"/>
      <c r="J157" s="45"/>
    </row>
    <row r="158" customFormat="false" ht="18" hidden="false" customHeight="true" outlineLevel="0" collapsed="false">
      <c r="A158" s="44" t="str">
        <f aca="false">IF(B158="","",ROW()-4)</f>
        <v/>
      </c>
      <c r="B158" s="45"/>
      <c r="C158" s="46"/>
      <c r="D158" s="46"/>
      <c r="E158" s="46"/>
      <c r="F158" s="46"/>
      <c r="G158" s="47"/>
      <c r="H158" s="47"/>
      <c r="I158" s="45"/>
      <c r="J158" s="45"/>
    </row>
    <row r="159" customFormat="false" ht="18" hidden="false" customHeight="true" outlineLevel="0" collapsed="false">
      <c r="A159" s="44" t="str">
        <f aca="false">IF(B159="","",ROW()-4)</f>
        <v/>
      </c>
      <c r="B159" s="45"/>
      <c r="C159" s="46"/>
      <c r="D159" s="46"/>
      <c r="E159" s="46"/>
      <c r="F159" s="46"/>
      <c r="G159" s="47"/>
      <c r="H159" s="47"/>
      <c r="I159" s="45"/>
      <c r="J159" s="45"/>
    </row>
    <row r="160" customFormat="false" ht="18" hidden="false" customHeight="true" outlineLevel="0" collapsed="false">
      <c r="A160" s="44" t="str">
        <f aca="false">IF(B160="","",ROW()-4)</f>
        <v/>
      </c>
      <c r="B160" s="45"/>
      <c r="C160" s="46"/>
      <c r="D160" s="46"/>
      <c r="E160" s="46"/>
      <c r="F160" s="46"/>
      <c r="G160" s="47"/>
      <c r="H160" s="47"/>
      <c r="I160" s="45"/>
      <c r="J160" s="45"/>
    </row>
    <row r="161" customFormat="false" ht="18" hidden="false" customHeight="true" outlineLevel="0" collapsed="false">
      <c r="A161" s="44" t="str">
        <f aca="false">IF(B161="","",ROW()-4)</f>
        <v/>
      </c>
      <c r="B161" s="45"/>
      <c r="C161" s="46"/>
      <c r="D161" s="46"/>
      <c r="E161" s="46"/>
      <c r="F161" s="46"/>
      <c r="G161" s="47"/>
      <c r="H161" s="47"/>
      <c r="I161" s="45"/>
      <c r="J161" s="45"/>
    </row>
    <row r="162" customFormat="false" ht="18" hidden="false" customHeight="true" outlineLevel="0" collapsed="false">
      <c r="A162" s="44" t="str">
        <f aca="false">IF(B162="","",ROW()-4)</f>
        <v/>
      </c>
      <c r="B162" s="45"/>
      <c r="C162" s="46"/>
      <c r="D162" s="46"/>
      <c r="E162" s="46"/>
      <c r="F162" s="46"/>
      <c r="G162" s="47"/>
      <c r="H162" s="47"/>
      <c r="I162" s="45"/>
      <c r="J162" s="45"/>
    </row>
    <row r="163" customFormat="false" ht="18" hidden="false" customHeight="true" outlineLevel="0" collapsed="false">
      <c r="A163" s="44" t="str">
        <f aca="false">IF(B163="","",ROW()-4)</f>
        <v/>
      </c>
      <c r="B163" s="45"/>
      <c r="C163" s="46"/>
      <c r="D163" s="46"/>
      <c r="E163" s="46"/>
      <c r="F163" s="46"/>
      <c r="G163" s="47"/>
      <c r="H163" s="47"/>
      <c r="I163" s="45"/>
      <c r="J163" s="45"/>
    </row>
    <row r="164" customFormat="false" ht="18" hidden="false" customHeight="true" outlineLevel="0" collapsed="false">
      <c r="A164" s="44" t="str">
        <f aca="false">IF(B164="","",ROW()-4)</f>
        <v/>
      </c>
      <c r="B164" s="45"/>
      <c r="C164" s="46"/>
      <c r="D164" s="46"/>
      <c r="E164" s="46"/>
      <c r="F164" s="46"/>
      <c r="G164" s="47"/>
      <c r="H164" s="47"/>
      <c r="I164" s="45"/>
      <c r="J164" s="45"/>
    </row>
    <row r="165" customFormat="false" ht="18" hidden="false" customHeight="true" outlineLevel="0" collapsed="false">
      <c r="A165" s="44" t="str">
        <f aca="false">IF(B165="","",ROW()-4)</f>
        <v/>
      </c>
      <c r="B165" s="45"/>
      <c r="C165" s="46"/>
      <c r="D165" s="46"/>
      <c r="E165" s="46"/>
      <c r="F165" s="46"/>
      <c r="G165" s="47"/>
      <c r="H165" s="47"/>
      <c r="I165" s="45"/>
      <c r="J165" s="45"/>
    </row>
    <row r="166" customFormat="false" ht="18" hidden="false" customHeight="true" outlineLevel="0" collapsed="false">
      <c r="A166" s="44" t="str">
        <f aca="false">IF(B166="","",ROW()-4)</f>
        <v/>
      </c>
      <c r="B166" s="45"/>
      <c r="C166" s="46"/>
      <c r="D166" s="46"/>
      <c r="E166" s="46"/>
      <c r="F166" s="46"/>
      <c r="G166" s="47"/>
      <c r="H166" s="47"/>
      <c r="I166" s="45"/>
      <c r="J166" s="45"/>
    </row>
    <row r="167" customFormat="false" ht="18" hidden="false" customHeight="true" outlineLevel="0" collapsed="false">
      <c r="A167" s="44" t="str">
        <f aca="false">IF(B167="","",ROW()-4)</f>
        <v/>
      </c>
      <c r="B167" s="45"/>
      <c r="C167" s="46"/>
      <c r="D167" s="46"/>
      <c r="E167" s="46"/>
      <c r="F167" s="46"/>
      <c r="G167" s="47"/>
      <c r="H167" s="47"/>
      <c r="I167" s="45"/>
      <c r="J167" s="45"/>
    </row>
    <row r="168" customFormat="false" ht="18" hidden="false" customHeight="true" outlineLevel="0" collapsed="false">
      <c r="A168" s="44" t="str">
        <f aca="false">IF(B168="","",ROW()-4)</f>
        <v/>
      </c>
      <c r="B168" s="45"/>
      <c r="C168" s="46"/>
      <c r="D168" s="46"/>
      <c r="E168" s="46"/>
      <c r="F168" s="46"/>
      <c r="G168" s="47"/>
      <c r="H168" s="47"/>
      <c r="I168" s="45"/>
      <c r="J168" s="45"/>
    </row>
    <row r="169" customFormat="false" ht="18" hidden="false" customHeight="true" outlineLevel="0" collapsed="false">
      <c r="A169" s="44" t="str">
        <f aca="false">IF(B169="","",ROW()-4)</f>
        <v/>
      </c>
      <c r="B169" s="45"/>
      <c r="C169" s="46"/>
      <c r="D169" s="46"/>
      <c r="E169" s="46"/>
      <c r="F169" s="46"/>
      <c r="G169" s="47"/>
      <c r="H169" s="47"/>
      <c r="I169" s="45"/>
      <c r="J169" s="45"/>
    </row>
    <row r="170" customFormat="false" ht="18" hidden="false" customHeight="true" outlineLevel="0" collapsed="false">
      <c r="A170" s="44" t="str">
        <f aca="false">IF(B170="","",ROW()-4)</f>
        <v/>
      </c>
      <c r="B170" s="45"/>
      <c r="C170" s="46"/>
      <c r="D170" s="46"/>
      <c r="E170" s="46"/>
      <c r="F170" s="46"/>
      <c r="G170" s="47"/>
      <c r="H170" s="47"/>
      <c r="I170" s="45"/>
      <c r="J170" s="45"/>
    </row>
    <row r="171" customFormat="false" ht="18" hidden="false" customHeight="true" outlineLevel="0" collapsed="false">
      <c r="A171" s="44" t="str">
        <f aca="false">IF(B171="","",ROW()-4)</f>
        <v/>
      </c>
      <c r="B171" s="45"/>
      <c r="C171" s="46"/>
      <c r="D171" s="46"/>
      <c r="E171" s="46"/>
      <c r="F171" s="46"/>
      <c r="G171" s="47"/>
      <c r="H171" s="47"/>
      <c r="I171" s="45"/>
      <c r="J171" s="45"/>
    </row>
    <row r="172" customFormat="false" ht="18" hidden="false" customHeight="true" outlineLevel="0" collapsed="false">
      <c r="A172" s="44" t="str">
        <f aca="false">IF(B172="","",ROW()-4)</f>
        <v/>
      </c>
      <c r="B172" s="45"/>
      <c r="C172" s="46"/>
      <c r="D172" s="46"/>
      <c r="E172" s="46"/>
      <c r="F172" s="46"/>
      <c r="G172" s="47"/>
      <c r="H172" s="47"/>
      <c r="I172" s="45"/>
      <c r="J172" s="45"/>
    </row>
    <row r="173" customFormat="false" ht="18" hidden="false" customHeight="true" outlineLevel="0" collapsed="false">
      <c r="A173" s="44" t="str">
        <f aca="false">IF(B173="","",ROW()-4)</f>
        <v/>
      </c>
      <c r="B173" s="45"/>
      <c r="C173" s="46"/>
      <c r="D173" s="46"/>
      <c r="E173" s="46"/>
      <c r="F173" s="46"/>
      <c r="G173" s="47"/>
      <c r="H173" s="47"/>
      <c r="I173" s="45"/>
      <c r="J173" s="45"/>
    </row>
    <row r="174" customFormat="false" ht="18" hidden="false" customHeight="true" outlineLevel="0" collapsed="false">
      <c r="A174" s="44" t="str">
        <f aca="false">IF(B174="","",ROW()-4)</f>
        <v/>
      </c>
      <c r="B174" s="45"/>
      <c r="C174" s="46"/>
      <c r="D174" s="46"/>
      <c r="E174" s="46"/>
      <c r="F174" s="46"/>
      <c r="G174" s="47"/>
      <c r="H174" s="47"/>
      <c r="I174" s="45"/>
      <c r="J174" s="45"/>
    </row>
    <row r="175" customFormat="false" ht="18" hidden="false" customHeight="true" outlineLevel="0" collapsed="false">
      <c r="A175" s="44" t="str">
        <f aca="false">IF(B175="","",ROW()-4)</f>
        <v/>
      </c>
      <c r="B175" s="45"/>
      <c r="C175" s="46"/>
      <c r="D175" s="46"/>
      <c r="E175" s="46"/>
      <c r="F175" s="46"/>
      <c r="G175" s="47"/>
      <c r="H175" s="47"/>
      <c r="I175" s="45"/>
      <c r="J175" s="45"/>
    </row>
    <row r="176" customFormat="false" ht="18" hidden="false" customHeight="true" outlineLevel="0" collapsed="false">
      <c r="A176" s="44" t="str">
        <f aca="false">IF(B176="","",ROW()-4)</f>
        <v/>
      </c>
      <c r="B176" s="45"/>
      <c r="C176" s="46"/>
      <c r="D176" s="46"/>
      <c r="E176" s="46"/>
      <c r="F176" s="46"/>
      <c r="G176" s="47"/>
      <c r="H176" s="47"/>
      <c r="I176" s="45"/>
      <c r="J176" s="45"/>
    </row>
    <row r="177" customFormat="false" ht="18" hidden="false" customHeight="true" outlineLevel="0" collapsed="false">
      <c r="A177" s="44" t="str">
        <f aca="false">IF(B177="","",ROW()-4)</f>
        <v/>
      </c>
      <c r="B177" s="45"/>
      <c r="C177" s="46"/>
      <c r="D177" s="46"/>
      <c r="E177" s="46"/>
      <c r="F177" s="46"/>
      <c r="G177" s="47"/>
      <c r="H177" s="47"/>
      <c r="I177" s="45"/>
      <c r="J177" s="45"/>
    </row>
    <row r="178" customFormat="false" ht="18" hidden="false" customHeight="true" outlineLevel="0" collapsed="false">
      <c r="A178" s="44" t="str">
        <f aca="false">IF(B178="","",ROW()-4)</f>
        <v/>
      </c>
      <c r="B178" s="45"/>
      <c r="C178" s="46"/>
      <c r="D178" s="46"/>
      <c r="E178" s="46"/>
      <c r="F178" s="46"/>
      <c r="G178" s="47"/>
      <c r="H178" s="47"/>
      <c r="I178" s="45"/>
      <c r="J178" s="45"/>
    </row>
    <row r="179" customFormat="false" ht="18" hidden="false" customHeight="true" outlineLevel="0" collapsed="false">
      <c r="A179" s="44" t="str">
        <f aca="false">IF(B179="","",ROW()-4)</f>
        <v/>
      </c>
      <c r="B179" s="45"/>
      <c r="C179" s="46"/>
      <c r="D179" s="46"/>
      <c r="E179" s="46"/>
      <c r="F179" s="46"/>
      <c r="G179" s="47"/>
      <c r="H179" s="47"/>
      <c r="I179" s="45"/>
      <c r="J179" s="45"/>
    </row>
    <row r="180" customFormat="false" ht="18" hidden="false" customHeight="true" outlineLevel="0" collapsed="false">
      <c r="A180" s="44" t="str">
        <f aca="false">IF(B180="","",ROW()-4)</f>
        <v/>
      </c>
      <c r="B180" s="45"/>
      <c r="C180" s="46"/>
      <c r="D180" s="46"/>
      <c r="E180" s="46"/>
      <c r="F180" s="46"/>
      <c r="G180" s="47"/>
      <c r="H180" s="47"/>
      <c r="I180" s="45"/>
      <c r="J180" s="45"/>
    </row>
    <row r="181" customFormat="false" ht="18" hidden="false" customHeight="true" outlineLevel="0" collapsed="false">
      <c r="A181" s="44" t="str">
        <f aca="false">IF(B181="","",ROW()-4)</f>
        <v/>
      </c>
      <c r="B181" s="45"/>
      <c r="C181" s="46"/>
      <c r="D181" s="46"/>
      <c r="E181" s="46"/>
      <c r="F181" s="46"/>
      <c r="G181" s="47"/>
      <c r="H181" s="47"/>
      <c r="I181" s="45"/>
      <c r="J181" s="45"/>
    </row>
    <row r="182" customFormat="false" ht="18" hidden="false" customHeight="true" outlineLevel="0" collapsed="false">
      <c r="A182" s="44" t="str">
        <f aca="false">IF(B182="","",ROW()-4)</f>
        <v/>
      </c>
      <c r="B182" s="45"/>
      <c r="C182" s="46"/>
      <c r="D182" s="46"/>
      <c r="E182" s="46"/>
      <c r="F182" s="46"/>
      <c r="G182" s="47"/>
      <c r="H182" s="47"/>
      <c r="I182" s="45"/>
      <c r="J182" s="45"/>
    </row>
    <row r="183" customFormat="false" ht="18" hidden="false" customHeight="true" outlineLevel="0" collapsed="false">
      <c r="A183" s="44" t="str">
        <f aca="false">IF(B183="","",ROW()-4)</f>
        <v/>
      </c>
      <c r="B183" s="45"/>
      <c r="C183" s="46"/>
      <c r="D183" s="46"/>
      <c r="E183" s="46"/>
      <c r="F183" s="46"/>
      <c r="G183" s="47"/>
      <c r="H183" s="47"/>
      <c r="I183" s="45"/>
      <c r="J183" s="45"/>
    </row>
    <row r="184" customFormat="false" ht="18" hidden="false" customHeight="true" outlineLevel="0" collapsed="false">
      <c r="A184" s="44" t="str">
        <f aca="false">IF(B184="","",ROW()-4)</f>
        <v/>
      </c>
      <c r="B184" s="45"/>
      <c r="C184" s="46"/>
      <c r="D184" s="46"/>
      <c r="E184" s="46"/>
      <c r="F184" s="46"/>
      <c r="G184" s="47"/>
      <c r="H184" s="47"/>
      <c r="I184" s="45"/>
      <c r="J184" s="45"/>
    </row>
    <row r="185" customFormat="false" ht="18" hidden="false" customHeight="true" outlineLevel="0" collapsed="false">
      <c r="A185" s="44" t="str">
        <f aca="false">IF(B185="","",ROW()-4)</f>
        <v/>
      </c>
      <c r="B185" s="45"/>
      <c r="C185" s="46"/>
      <c r="D185" s="46"/>
      <c r="E185" s="46"/>
      <c r="F185" s="46"/>
      <c r="G185" s="47"/>
      <c r="H185" s="47"/>
      <c r="I185" s="45"/>
      <c r="J185" s="45"/>
    </row>
    <row r="186" customFormat="false" ht="18" hidden="false" customHeight="true" outlineLevel="0" collapsed="false">
      <c r="A186" s="44" t="str">
        <f aca="false">IF(B186="","",ROW()-4)</f>
        <v/>
      </c>
      <c r="B186" s="45"/>
      <c r="C186" s="46"/>
      <c r="D186" s="46"/>
      <c r="E186" s="46"/>
      <c r="F186" s="46"/>
      <c r="G186" s="47"/>
      <c r="H186" s="47"/>
      <c r="I186" s="45"/>
      <c r="J186" s="45"/>
    </row>
    <row r="187" customFormat="false" ht="18" hidden="false" customHeight="true" outlineLevel="0" collapsed="false">
      <c r="A187" s="44" t="str">
        <f aca="false">IF(B187="","",ROW()-4)</f>
        <v/>
      </c>
      <c r="B187" s="45"/>
      <c r="C187" s="46"/>
      <c r="D187" s="46"/>
      <c r="E187" s="46"/>
      <c r="F187" s="46"/>
      <c r="G187" s="47"/>
      <c r="H187" s="47"/>
      <c r="I187" s="45"/>
      <c r="J187" s="45"/>
    </row>
    <row r="188" customFormat="false" ht="18" hidden="false" customHeight="true" outlineLevel="0" collapsed="false">
      <c r="A188" s="44" t="str">
        <f aca="false">IF(B188="","",ROW()-4)</f>
        <v/>
      </c>
      <c r="B188" s="45"/>
      <c r="C188" s="46"/>
      <c r="D188" s="46"/>
      <c r="E188" s="46"/>
      <c r="F188" s="46"/>
      <c r="G188" s="47"/>
      <c r="H188" s="47"/>
      <c r="I188" s="45"/>
      <c r="J188" s="45"/>
    </row>
    <row r="189" customFormat="false" ht="18" hidden="false" customHeight="true" outlineLevel="0" collapsed="false">
      <c r="A189" s="44" t="str">
        <f aca="false">IF(B189="","",ROW()-4)</f>
        <v/>
      </c>
      <c r="B189" s="45"/>
      <c r="C189" s="46"/>
      <c r="D189" s="46"/>
      <c r="E189" s="46"/>
      <c r="F189" s="46"/>
      <c r="G189" s="47"/>
      <c r="H189" s="47"/>
      <c r="I189" s="45"/>
      <c r="J189" s="45"/>
    </row>
    <row r="190" customFormat="false" ht="18" hidden="false" customHeight="true" outlineLevel="0" collapsed="false">
      <c r="A190" s="44" t="str">
        <f aca="false">IF(B190="","",ROW()-4)</f>
        <v/>
      </c>
      <c r="B190" s="45"/>
      <c r="C190" s="46"/>
      <c r="D190" s="46"/>
      <c r="E190" s="46"/>
      <c r="F190" s="46"/>
      <c r="G190" s="47"/>
      <c r="H190" s="47"/>
      <c r="I190" s="45"/>
      <c r="J190" s="45"/>
    </row>
    <row r="191" customFormat="false" ht="18" hidden="false" customHeight="true" outlineLevel="0" collapsed="false">
      <c r="A191" s="44" t="str">
        <f aca="false">IF(B191="","",ROW()-4)</f>
        <v/>
      </c>
      <c r="B191" s="45"/>
      <c r="C191" s="46"/>
      <c r="D191" s="46"/>
      <c r="E191" s="46"/>
      <c r="F191" s="46"/>
      <c r="G191" s="47"/>
      <c r="H191" s="47"/>
      <c r="I191" s="45"/>
      <c r="J191" s="45"/>
    </row>
    <row r="192" customFormat="false" ht="18" hidden="false" customHeight="true" outlineLevel="0" collapsed="false">
      <c r="A192" s="44" t="str">
        <f aca="false">IF(B192="","",ROW()-4)</f>
        <v/>
      </c>
      <c r="B192" s="45"/>
      <c r="C192" s="46"/>
      <c r="D192" s="46"/>
      <c r="E192" s="46"/>
      <c r="F192" s="46"/>
      <c r="G192" s="47"/>
      <c r="H192" s="47"/>
      <c r="I192" s="45"/>
      <c r="J192" s="45"/>
    </row>
    <row r="193" customFormat="false" ht="18" hidden="false" customHeight="true" outlineLevel="0" collapsed="false">
      <c r="A193" s="44" t="str">
        <f aca="false">IF(B193="","",ROW()-4)</f>
        <v/>
      </c>
      <c r="B193" s="45"/>
      <c r="C193" s="46"/>
      <c r="D193" s="46"/>
      <c r="E193" s="46"/>
      <c r="F193" s="46"/>
      <c r="G193" s="47"/>
      <c r="H193" s="47"/>
      <c r="I193" s="45"/>
      <c r="J193" s="45"/>
    </row>
    <row r="194" customFormat="false" ht="18" hidden="false" customHeight="true" outlineLevel="0" collapsed="false">
      <c r="A194" s="44" t="str">
        <f aca="false">IF(B194="","",ROW()-4)</f>
        <v/>
      </c>
      <c r="B194" s="45"/>
      <c r="C194" s="46"/>
      <c r="D194" s="46"/>
      <c r="E194" s="46"/>
      <c r="F194" s="46"/>
      <c r="G194" s="47"/>
      <c r="H194" s="47"/>
      <c r="I194" s="45"/>
      <c r="J194" s="45"/>
    </row>
    <row r="195" customFormat="false" ht="18" hidden="false" customHeight="true" outlineLevel="0" collapsed="false">
      <c r="A195" s="44" t="str">
        <f aca="false">IF(B195="","",ROW()-4)</f>
        <v/>
      </c>
      <c r="B195" s="45"/>
      <c r="C195" s="46"/>
      <c r="D195" s="46"/>
      <c r="E195" s="46"/>
      <c r="F195" s="46"/>
      <c r="G195" s="47"/>
      <c r="H195" s="47"/>
      <c r="I195" s="45"/>
      <c r="J195" s="45"/>
    </row>
    <row r="196" customFormat="false" ht="18" hidden="false" customHeight="true" outlineLevel="0" collapsed="false">
      <c r="A196" s="44" t="str">
        <f aca="false">IF(B196="","",ROW()-4)</f>
        <v/>
      </c>
      <c r="B196" s="45"/>
      <c r="C196" s="46"/>
      <c r="D196" s="46"/>
      <c r="E196" s="46"/>
      <c r="F196" s="46"/>
      <c r="G196" s="47"/>
      <c r="H196" s="47"/>
      <c r="I196" s="45"/>
      <c r="J196" s="45"/>
    </row>
    <row r="197" customFormat="false" ht="18" hidden="false" customHeight="true" outlineLevel="0" collapsed="false">
      <c r="A197" s="44" t="str">
        <f aca="false">IF(B197="","",ROW()-4)</f>
        <v/>
      </c>
      <c r="B197" s="45"/>
      <c r="C197" s="46"/>
      <c r="D197" s="46"/>
      <c r="E197" s="46"/>
      <c r="F197" s="46"/>
      <c r="G197" s="47"/>
      <c r="H197" s="47"/>
      <c r="I197" s="45"/>
      <c r="J197" s="45"/>
    </row>
    <row r="198" customFormat="false" ht="18" hidden="false" customHeight="true" outlineLevel="0" collapsed="false">
      <c r="A198" s="44" t="str">
        <f aca="false">IF(B198="","",ROW()-4)</f>
        <v/>
      </c>
      <c r="B198" s="45"/>
      <c r="C198" s="46"/>
      <c r="D198" s="46"/>
      <c r="E198" s="46"/>
      <c r="F198" s="46"/>
      <c r="G198" s="47"/>
      <c r="H198" s="47"/>
      <c r="I198" s="45"/>
      <c r="J198" s="45"/>
    </row>
    <row r="199" customFormat="false" ht="18" hidden="false" customHeight="true" outlineLevel="0" collapsed="false">
      <c r="A199" s="44" t="str">
        <f aca="false">IF(B199="","",ROW()-4)</f>
        <v/>
      </c>
      <c r="B199" s="45"/>
      <c r="C199" s="46"/>
      <c r="D199" s="46"/>
      <c r="E199" s="46"/>
      <c r="F199" s="46"/>
      <c r="G199" s="47"/>
      <c r="H199" s="47"/>
      <c r="I199" s="45"/>
      <c r="J199" s="45"/>
    </row>
    <row r="200" customFormat="false" ht="18" hidden="false" customHeight="true" outlineLevel="0" collapsed="false">
      <c r="A200" s="44" t="str">
        <f aca="false">IF(B200="","",ROW()-4)</f>
        <v/>
      </c>
      <c r="B200" s="45"/>
      <c r="C200" s="46"/>
      <c r="D200" s="46"/>
      <c r="E200" s="46"/>
      <c r="F200" s="46"/>
      <c r="G200" s="47"/>
      <c r="H200" s="47"/>
      <c r="I200" s="45"/>
      <c r="J200" s="45"/>
    </row>
    <row r="201" customFormat="false" ht="18" hidden="false" customHeight="true" outlineLevel="0" collapsed="false">
      <c r="A201" s="44" t="str">
        <f aca="false">IF(B201="","",ROW()-4)</f>
        <v/>
      </c>
      <c r="B201" s="45"/>
      <c r="C201" s="46"/>
      <c r="D201" s="46"/>
      <c r="E201" s="46"/>
      <c r="F201" s="46"/>
      <c r="G201" s="47"/>
      <c r="H201" s="47"/>
      <c r="I201" s="45"/>
      <c r="J201" s="45"/>
    </row>
    <row r="202" customFormat="false" ht="18" hidden="false" customHeight="true" outlineLevel="0" collapsed="false">
      <c r="A202" s="44" t="str">
        <f aca="false">IF(B202="","",ROW()-4)</f>
        <v/>
      </c>
      <c r="B202" s="45"/>
      <c r="C202" s="46"/>
      <c r="D202" s="46"/>
      <c r="E202" s="46"/>
      <c r="F202" s="46"/>
      <c r="G202" s="47"/>
      <c r="H202" s="47"/>
      <c r="I202" s="45"/>
      <c r="J202" s="45"/>
    </row>
    <row r="203" customFormat="false" ht="18" hidden="false" customHeight="true" outlineLevel="0" collapsed="false">
      <c r="A203" s="44" t="str">
        <f aca="false">IF(B203="","",ROW()-4)</f>
        <v/>
      </c>
      <c r="B203" s="45"/>
      <c r="C203" s="46"/>
      <c r="D203" s="46"/>
      <c r="E203" s="46"/>
      <c r="F203" s="46"/>
      <c r="G203" s="47"/>
      <c r="H203" s="47"/>
      <c r="I203" s="45"/>
      <c r="J203" s="45"/>
    </row>
    <row r="204" customFormat="false" ht="18" hidden="false" customHeight="true" outlineLevel="0" collapsed="false">
      <c r="A204" s="44" t="str">
        <f aca="false">IF(B204="","",ROW()-4)</f>
        <v/>
      </c>
      <c r="B204" s="45"/>
      <c r="C204" s="46"/>
      <c r="D204" s="46"/>
      <c r="E204" s="46"/>
      <c r="F204" s="46"/>
      <c r="G204" s="47"/>
      <c r="H204" s="47"/>
      <c r="I204" s="45"/>
      <c r="J204" s="45"/>
    </row>
    <row r="205" customFormat="false" ht="18" hidden="false" customHeight="true" outlineLevel="0" collapsed="false">
      <c r="A205" s="44" t="str">
        <f aca="false">IF(B205="","",ROW()-4)</f>
        <v/>
      </c>
      <c r="B205" s="45"/>
      <c r="C205" s="46"/>
      <c r="D205" s="46"/>
      <c r="E205" s="46"/>
      <c r="F205" s="46"/>
      <c r="G205" s="47"/>
      <c r="H205" s="47"/>
      <c r="I205" s="45"/>
      <c r="J205" s="45"/>
    </row>
    <row r="206" customFormat="false" ht="18" hidden="false" customHeight="true" outlineLevel="0" collapsed="false">
      <c r="A206" s="44" t="str">
        <f aca="false">IF(B206="","",ROW()-4)</f>
        <v/>
      </c>
      <c r="B206" s="45"/>
      <c r="C206" s="46"/>
      <c r="D206" s="46"/>
      <c r="E206" s="46"/>
      <c r="F206" s="46"/>
      <c r="G206" s="47"/>
      <c r="H206" s="47"/>
      <c r="I206" s="45"/>
      <c r="J206" s="45"/>
    </row>
    <row r="207" customFormat="false" ht="18" hidden="false" customHeight="true" outlineLevel="0" collapsed="false">
      <c r="A207" s="44" t="str">
        <f aca="false">IF(B207="","",ROW()-4)</f>
        <v/>
      </c>
      <c r="B207" s="45"/>
      <c r="C207" s="46"/>
      <c r="D207" s="46"/>
      <c r="E207" s="46"/>
      <c r="F207" s="46"/>
      <c r="G207" s="47"/>
      <c r="H207" s="47"/>
      <c r="I207" s="45"/>
      <c r="J207" s="45"/>
    </row>
    <row r="208" customFormat="false" ht="18" hidden="false" customHeight="true" outlineLevel="0" collapsed="false">
      <c r="A208" s="44" t="str">
        <f aca="false">IF(B208="","",ROW()-4)</f>
        <v/>
      </c>
      <c r="B208" s="45"/>
      <c r="C208" s="46"/>
      <c r="D208" s="46"/>
      <c r="E208" s="46"/>
      <c r="F208" s="46"/>
      <c r="G208" s="47"/>
      <c r="H208" s="47"/>
      <c r="I208" s="45"/>
      <c r="J208" s="45"/>
    </row>
    <row r="209" customFormat="false" ht="18" hidden="false" customHeight="true" outlineLevel="0" collapsed="false">
      <c r="A209" s="44" t="str">
        <f aca="false">IF(B209="","",ROW()-4)</f>
        <v/>
      </c>
      <c r="B209" s="45"/>
      <c r="C209" s="46"/>
      <c r="D209" s="46"/>
      <c r="E209" s="46"/>
      <c r="F209" s="46"/>
      <c r="G209" s="47"/>
      <c r="H209" s="47"/>
      <c r="I209" s="45"/>
      <c r="J209" s="45"/>
    </row>
    <row r="210" customFormat="false" ht="18" hidden="false" customHeight="true" outlineLevel="0" collapsed="false">
      <c r="A210" s="44" t="str">
        <f aca="false">IF(B210="","",ROW()-4)</f>
        <v/>
      </c>
      <c r="B210" s="45"/>
      <c r="C210" s="46"/>
      <c r="D210" s="46"/>
      <c r="E210" s="46"/>
      <c r="F210" s="46"/>
      <c r="G210" s="47"/>
      <c r="H210" s="47"/>
      <c r="I210" s="45"/>
      <c r="J210" s="45"/>
    </row>
    <row r="211" customFormat="false" ht="18" hidden="false" customHeight="true" outlineLevel="0" collapsed="false">
      <c r="A211" s="44" t="str">
        <f aca="false">IF(B211="","",ROW()-4)</f>
        <v/>
      </c>
      <c r="B211" s="45"/>
      <c r="C211" s="46"/>
      <c r="D211" s="46"/>
      <c r="E211" s="46"/>
      <c r="F211" s="46"/>
      <c r="G211" s="47"/>
      <c r="H211" s="47"/>
      <c r="I211" s="45"/>
      <c r="J211" s="45"/>
    </row>
    <row r="212" customFormat="false" ht="18" hidden="false" customHeight="true" outlineLevel="0" collapsed="false">
      <c r="A212" s="44" t="str">
        <f aca="false">IF(B212="","",ROW()-4)</f>
        <v/>
      </c>
      <c r="B212" s="45"/>
      <c r="C212" s="46"/>
      <c r="D212" s="46"/>
      <c r="E212" s="46"/>
      <c r="F212" s="46"/>
      <c r="G212" s="47"/>
      <c r="H212" s="47"/>
      <c r="I212" s="45"/>
      <c r="J212" s="45"/>
    </row>
    <row r="213" customFormat="false" ht="18" hidden="false" customHeight="true" outlineLevel="0" collapsed="false">
      <c r="A213" s="44" t="str">
        <f aca="false">IF(B213="","",ROW()-4)</f>
        <v/>
      </c>
      <c r="B213" s="45"/>
      <c r="C213" s="46"/>
      <c r="D213" s="46"/>
      <c r="E213" s="46"/>
      <c r="F213" s="46"/>
      <c r="G213" s="47"/>
      <c r="H213" s="47"/>
      <c r="I213" s="45"/>
      <c r="J213" s="45"/>
    </row>
    <row r="214" customFormat="false" ht="18" hidden="false" customHeight="true" outlineLevel="0" collapsed="false">
      <c r="A214" s="44" t="str">
        <f aca="false">IF(B214="","",ROW()-4)</f>
        <v/>
      </c>
      <c r="B214" s="45"/>
      <c r="C214" s="46"/>
      <c r="D214" s="46"/>
      <c r="E214" s="46"/>
      <c r="F214" s="46"/>
      <c r="G214" s="47"/>
      <c r="H214" s="47"/>
      <c r="I214" s="45"/>
      <c r="J214" s="45"/>
    </row>
    <row r="215" customFormat="false" ht="18" hidden="false" customHeight="true" outlineLevel="0" collapsed="false">
      <c r="A215" s="44" t="str">
        <f aca="false">IF(B215="","",ROW()-4)</f>
        <v/>
      </c>
      <c r="B215" s="45"/>
      <c r="C215" s="46"/>
      <c r="D215" s="46"/>
      <c r="E215" s="46"/>
      <c r="F215" s="46"/>
      <c r="G215" s="47"/>
      <c r="H215" s="47"/>
      <c r="I215" s="45"/>
      <c r="J215" s="45"/>
    </row>
    <row r="216" customFormat="false" ht="18" hidden="false" customHeight="true" outlineLevel="0" collapsed="false">
      <c r="A216" s="44" t="str">
        <f aca="false">IF(B216="","",ROW()-4)</f>
        <v/>
      </c>
      <c r="B216" s="45"/>
      <c r="C216" s="46"/>
      <c r="D216" s="46"/>
      <c r="E216" s="46"/>
      <c r="F216" s="46"/>
      <c r="G216" s="47"/>
      <c r="H216" s="47"/>
      <c r="I216" s="45"/>
      <c r="J216" s="45"/>
    </row>
    <row r="217" customFormat="false" ht="18" hidden="false" customHeight="true" outlineLevel="0" collapsed="false">
      <c r="A217" s="44" t="str">
        <f aca="false">IF(B217="","",ROW()-4)</f>
        <v/>
      </c>
      <c r="B217" s="45"/>
      <c r="C217" s="46"/>
      <c r="D217" s="46"/>
      <c r="E217" s="46"/>
      <c r="F217" s="46"/>
      <c r="G217" s="47"/>
      <c r="H217" s="47"/>
      <c r="I217" s="45"/>
      <c r="J217" s="45"/>
    </row>
    <row r="218" customFormat="false" ht="18" hidden="false" customHeight="true" outlineLevel="0" collapsed="false">
      <c r="A218" s="44" t="str">
        <f aca="false">IF(B218="","",ROW()-4)</f>
        <v/>
      </c>
      <c r="B218" s="45"/>
      <c r="C218" s="46"/>
      <c r="D218" s="46"/>
      <c r="E218" s="46"/>
      <c r="F218" s="46"/>
      <c r="G218" s="47"/>
      <c r="H218" s="47"/>
      <c r="I218" s="45"/>
      <c r="J218" s="45"/>
    </row>
    <row r="219" customFormat="false" ht="18" hidden="false" customHeight="true" outlineLevel="0" collapsed="false">
      <c r="A219" s="44" t="str">
        <f aca="false">IF(B219="","",ROW()-4)</f>
        <v/>
      </c>
      <c r="B219" s="45"/>
      <c r="C219" s="46"/>
      <c r="D219" s="46"/>
      <c r="E219" s="46"/>
      <c r="F219" s="46"/>
      <c r="G219" s="47"/>
      <c r="H219" s="47"/>
      <c r="I219" s="45"/>
      <c r="J219" s="45"/>
    </row>
    <row r="220" customFormat="false" ht="18" hidden="false" customHeight="true" outlineLevel="0" collapsed="false">
      <c r="A220" s="44" t="str">
        <f aca="false">IF(B220="","",ROW()-4)</f>
        <v/>
      </c>
      <c r="B220" s="45"/>
      <c r="C220" s="46"/>
      <c r="D220" s="46"/>
      <c r="E220" s="46"/>
      <c r="F220" s="46"/>
      <c r="G220" s="47"/>
      <c r="H220" s="47"/>
      <c r="I220" s="45"/>
      <c r="J220" s="45"/>
    </row>
    <row r="221" customFormat="false" ht="18" hidden="false" customHeight="true" outlineLevel="0" collapsed="false">
      <c r="A221" s="44" t="str">
        <f aca="false">IF(B221="","",ROW()-4)</f>
        <v/>
      </c>
      <c r="B221" s="45"/>
      <c r="C221" s="46"/>
      <c r="D221" s="46"/>
      <c r="E221" s="46"/>
      <c r="F221" s="46"/>
      <c r="G221" s="47"/>
      <c r="H221" s="47"/>
      <c r="I221" s="45"/>
      <c r="J221" s="45"/>
    </row>
    <row r="222" customFormat="false" ht="18" hidden="false" customHeight="true" outlineLevel="0" collapsed="false">
      <c r="A222" s="44" t="str">
        <f aca="false">IF(B222="","",ROW()-4)</f>
        <v/>
      </c>
      <c r="B222" s="45"/>
      <c r="C222" s="46"/>
      <c r="D222" s="46"/>
      <c r="E222" s="46"/>
      <c r="F222" s="46"/>
      <c r="G222" s="47"/>
      <c r="H222" s="47"/>
      <c r="I222" s="45"/>
      <c r="J222" s="45"/>
    </row>
    <row r="223" customFormat="false" ht="18" hidden="false" customHeight="true" outlineLevel="0" collapsed="false">
      <c r="A223" s="44" t="str">
        <f aca="false">IF(B223="","",ROW()-4)</f>
        <v/>
      </c>
      <c r="B223" s="45"/>
      <c r="C223" s="46"/>
      <c r="D223" s="46"/>
      <c r="E223" s="46"/>
      <c r="F223" s="46"/>
      <c r="G223" s="47"/>
      <c r="H223" s="47"/>
      <c r="I223" s="45"/>
      <c r="J223" s="45"/>
    </row>
    <row r="224" customFormat="false" ht="18" hidden="false" customHeight="true" outlineLevel="0" collapsed="false">
      <c r="A224" s="44" t="str">
        <f aca="false">IF(B224="","",ROW()-4)</f>
        <v/>
      </c>
      <c r="B224" s="45"/>
      <c r="C224" s="46"/>
      <c r="D224" s="46"/>
      <c r="E224" s="46"/>
      <c r="F224" s="46"/>
      <c r="G224" s="47"/>
      <c r="H224" s="47"/>
      <c r="I224" s="45"/>
      <c r="J224" s="45"/>
    </row>
    <row r="225" customFormat="false" ht="18" hidden="false" customHeight="true" outlineLevel="0" collapsed="false">
      <c r="A225" s="44" t="str">
        <f aca="false">IF(B225="","",ROW()-4)</f>
        <v/>
      </c>
      <c r="B225" s="45"/>
      <c r="C225" s="46"/>
      <c r="D225" s="46"/>
      <c r="E225" s="46"/>
      <c r="F225" s="46"/>
      <c r="G225" s="47"/>
      <c r="H225" s="47"/>
      <c r="I225" s="45"/>
      <c r="J225" s="45"/>
    </row>
    <row r="226" customFormat="false" ht="18" hidden="false" customHeight="true" outlineLevel="0" collapsed="false">
      <c r="A226" s="44" t="str">
        <f aca="false">IF(B226="","",ROW()-4)</f>
        <v/>
      </c>
      <c r="B226" s="45"/>
      <c r="C226" s="46"/>
      <c r="D226" s="46"/>
      <c r="E226" s="46"/>
      <c r="F226" s="46"/>
      <c r="G226" s="47"/>
      <c r="H226" s="47"/>
      <c r="I226" s="45"/>
      <c r="J226" s="45"/>
    </row>
    <row r="227" customFormat="false" ht="18" hidden="false" customHeight="true" outlineLevel="0" collapsed="false">
      <c r="A227" s="44" t="str">
        <f aca="false">IF(B227="","",ROW()-4)</f>
        <v/>
      </c>
      <c r="B227" s="45"/>
      <c r="C227" s="46"/>
      <c r="D227" s="46"/>
      <c r="E227" s="46"/>
      <c r="F227" s="46"/>
      <c r="G227" s="47"/>
      <c r="H227" s="47"/>
      <c r="I227" s="45"/>
      <c r="J227" s="45"/>
    </row>
    <row r="228" customFormat="false" ht="18" hidden="false" customHeight="true" outlineLevel="0" collapsed="false">
      <c r="A228" s="44" t="str">
        <f aca="false">IF(B228="","",ROW()-4)</f>
        <v/>
      </c>
      <c r="B228" s="45"/>
      <c r="C228" s="46"/>
      <c r="D228" s="46"/>
      <c r="E228" s="46"/>
      <c r="F228" s="46"/>
      <c r="G228" s="47"/>
      <c r="H228" s="47"/>
      <c r="I228" s="45"/>
      <c r="J228" s="45"/>
    </row>
    <row r="229" customFormat="false" ht="18" hidden="false" customHeight="true" outlineLevel="0" collapsed="false">
      <c r="A229" s="44" t="str">
        <f aca="false">IF(B229="","",ROW()-4)</f>
        <v/>
      </c>
      <c r="B229" s="45"/>
      <c r="C229" s="46"/>
      <c r="D229" s="46"/>
      <c r="E229" s="46"/>
      <c r="F229" s="46"/>
      <c r="G229" s="47"/>
      <c r="H229" s="47"/>
      <c r="I229" s="45"/>
      <c r="J229" s="45"/>
    </row>
    <row r="230" customFormat="false" ht="18" hidden="false" customHeight="true" outlineLevel="0" collapsed="false">
      <c r="A230" s="44" t="str">
        <f aca="false">IF(B230="","",ROW()-4)</f>
        <v/>
      </c>
      <c r="B230" s="45"/>
      <c r="C230" s="46"/>
      <c r="D230" s="46"/>
      <c r="E230" s="46"/>
      <c r="F230" s="46"/>
      <c r="G230" s="47"/>
      <c r="H230" s="47"/>
      <c r="I230" s="45"/>
      <c r="J230" s="45"/>
    </row>
    <row r="231" customFormat="false" ht="18" hidden="false" customHeight="true" outlineLevel="0" collapsed="false">
      <c r="A231" s="44" t="str">
        <f aca="false">IF(B231="","",ROW()-4)</f>
        <v/>
      </c>
      <c r="B231" s="45"/>
      <c r="C231" s="46"/>
      <c r="D231" s="46"/>
      <c r="E231" s="46"/>
      <c r="F231" s="46"/>
      <c r="G231" s="47"/>
      <c r="H231" s="47"/>
      <c r="I231" s="45"/>
      <c r="J231" s="45"/>
    </row>
    <row r="232" customFormat="false" ht="18" hidden="false" customHeight="true" outlineLevel="0" collapsed="false">
      <c r="A232" s="44" t="str">
        <f aca="false">IF(B232="","",ROW()-4)</f>
        <v/>
      </c>
      <c r="B232" s="45"/>
      <c r="C232" s="46"/>
      <c r="D232" s="46"/>
      <c r="E232" s="46"/>
      <c r="F232" s="46"/>
      <c r="G232" s="47"/>
      <c r="H232" s="47"/>
      <c r="I232" s="45"/>
      <c r="J232" s="45"/>
    </row>
    <row r="233" customFormat="false" ht="18" hidden="false" customHeight="true" outlineLevel="0" collapsed="false">
      <c r="A233" s="44" t="str">
        <f aca="false">IF(B233="","",ROW()-4)</f>
        <v/>
      </c>
      <c r="B233" s="45"/>
      <c r="C233" s="46"/>
      <c r="D233" s="46"/>
      <c r="E233" s="46"/>
      <c r="F233" s="46"/>
      <c r="G233" s="47"/>
      <c r="H233" s="47"/>
      <c r="I233" s="45"/>
      <c r="J233" s="45"/>
    </row>
    <row r="234" customFormat="false" ht="18" hidden="false" customHeight="true" outlineLevel="0" collapsed="false">
      <c r="A234" s="44" t="str">
        <f aca="false">IF(B234="","",ROW()-4)</f>
        <v/>
      </c>
      <c r="B234" s="45"/>
      <c r="C234" s="46"/>
      <c r="D234" s="46"/>
      <c r="E234" s="46"/>
      <c r="F234" s="46"/>
      <c r="G234" s="47"/>
      <c r="H234" s="47"/>
      <c r="I234" s="45"/>
      <c r="J234" s="45"/>
    </row>
    <row r="235" customFormat="false" ht="18" hidden="false" customHeight="true" outlineLevel="0" collapsed="false">
      <c r="A235" s="44" t="str">
        <f aca="false">IF(B235="","",ROW()-4)</f>
        <v/>
      </c>
      <c r="B235" s="45"/>
      <c r="C235" s="46"/>
      <c r="D235" s="46"/>
      <c r="E235" s="46"/>
      <c r="F235" s="46"/>
      <c r="G235" s="47"/>
      <c r="H235" s="47"/>
      <c r="I235" s="45"/>
      <c r="J235" s="45"/>
    </row>
    <row r="236" customFormat="false" ht="18" hidden="false" customHeight="true" outlineLevel="0" collapsed="false">
      <c r="A236" s="44" t="str">
        <f aca="false">IF(B236="","",ROW()-4)</f>
        <v/>
      </c>
      <c r="B236" s="45"/>
      <c r="C236" s="46"/>
      <c r="D236" s="46"/>
      <c r="E236" s="46"/>
      <c r="F236" s="46"/>
      <c r="G236" s="47"/>
      <c r="H236" s="47"/>
      <c r="I236" s="45"/>
      <c r="J236" s="45"/>
    </row>
    <row r="237" customFormat="false" ht="18" hidden="false" customHeight="true" outlineLevel="0" collapsed="false">
      <c r="A237" s="44" t="str">
        <f aca="false">IF(B237="","",ROW()-4)</f>
        <v/>
      </c>
      <c r="B237" s="45"/>
      <c r="C237" s="46"/>
      <c r="D237" s="46"/>
      <c r="E237" s="46"/>
      <c r="F237" s="46"/>
      <c r="G237" s="47"/>
      <c r="H237" s="47"/>
      <c r="I237" s="45"/>
      <c r="J237" s="45"/>
    </row>
    <row r="238" customFormat="false" ht="18" hidden="false" customHeight="true" outlineLevel="0" collapsed="false">
      <c r="A238" s="44" t="str">
        <f aca="false">IF(B238="","",ROW()-4)</f>
        <v/>
      </c>
      <c r="B238" s="45"/>
      <c r="C238" s="46"/>
      <c r="D238" s="46"/>
      <c r="E238" s="46"/>
      <c r="F238" s="46"/>
      <c r="G238" s="47"/>
      <c r="H238" s="47"/>
      <c r="I238" s="45"/>
      <c r="J238" s="45"/>
    </row>
    <row r="239" customFormat="false" ht="18" hidden="false" customHeight="true" outlineLevel="0" collapsed="false">
      <c r="A239" s="44" t="str">
        <f aca="false">IF(B239="","",ROW()-4)</f>
        <v/>
      </c>
      <c r="B239" s="45"/>
      <c r="C239" s="46"/>
      <c r="D239" s="46"/>
      <c r="E239" s="46"/>
      <c r="F239" s="46"/>
      <c r="G239" s="47"/>
      <c r="H239" s="47"/>
      <c r="I239" s="45"/>
      <c r="J239" s="45"/>
    </row>
    <row r="240" customFormat="false" ht="18" hidden="false" customHeight="true" outlineLevel="0" collapsed="false">
      <c r="A240" s="44" t="str">
        <f aca="false">IF(B240="","",ROW()-4)</f>
        <v/>
      </c>
      <c r="B240" s="45"/>
      <c r="C240" s="46"/>
      <c r="D240" s="46"/>
      <c r="E240" s="46"/>
      <c r="F240" s="46"/>
      <c r="G240" s="47"/>
      <c r="H240" s="47"/>
      <c r="I240" s="45"/>
      <c r="J240" s="45"/>
    </row>
    <row r="241" customFormat="false" ht="18" hidden="false" customHeight="true" outlineLevel="0" collapsed="false">
      <c r="A241" s="44" t="str">
        <f aca="false">IF(B241="","",ROW()-4)</f>
        <v/>
      </c>
      <c r="B241" s="45"/>
      <c r="C241" s="46"/>
      <c r="D241" s="46"/>
      <c r="E241" s="46"/>
      <c r="F241" s="46"/>
      <c r="G241" s="47"/>
      <c r="H241" s="47"/>
      <c r="I241" s="45"/>
      <c r="J241" s="45"/>
    </row>
    <row r="242" customFormat="false" ht="18" hidden="false" customHeight="true" outlineLevel="0" collapsed="false">
      <c r="A242" s="44" t="str">
        <f aca="false">IF(B242="","",ROW()-4)</f>
        <v/>
      </c>
      <c r="B242" s="45"/>
      <c r="C242" s="46"/>
      <c r="D242" s="46"/>
      <c r="E242" s="46"/>
      <c r="F242" s="46"/>
      <c r="G242" s="47"/>
      <c r="H242" s="47"/>
      <c r="I242" s="45"/>
      <c r="J242" s="45"/>
    </row>
    <row r="243" customFormat="false" ht="18" hidden="false" customHeight="true" outlineLevel="0" collapsed="false">
      <c r="A243" s="44" t="str">
        <f aca="false">IF(B243="","",ROW()-4)</f>
        <v/>
      </c>
      <c r="B243" s="45"/>
      <c r="C243" s="46"/>
      <c r="D243" s="46"/>
      <c r="E243" s="46"/>
      <c r="F243" s="46"/>
      <c r="G243" s="47"/>
      <c r="H243" s="47"/>
      <c r="I243" s="45"/>
      <c r="J243" s="45"/>
    </row>
    <row r="244" customFormat="false" ht="18" hidden="false" customHeight="true" outlineLevel="0" collapsed="false">
      <c r="A244" s="44" t="str">
        <f aca="false">IF(B244="","",ROW()-4)</f>
        <v/>
      </c>
      <c r="B244" s="45"/>
      <c r="C244" s="46"/>
      <c r="D244" s="46"/>
      <c r="E244" s="46"/>
      <c r="F244" s="46"/>
      <c r="G244" s="47"/>
      <c r="H244" s="47"/>
      <c r="I244" s="45"/>
      <c r="J244" s="45"/>
    </row>
    <row r="245" customFormat="false" ht="18" hidden="false" customHeight="true" outlineLevel="0" collapsed="false">
      <c r="A245" s="44" t="str">
        <f aca="false">IF(B245="","",ROW()-4)</f>
        <v/>
      </c>
      <c r="B245" s="45"/>
      <c r="C245" s="46"/>
      <c r="D245" s="46"/>
      <c r="E245" s="46"/>
      <c r="F245" s="46"/>
      <c r="G245" s="47"/>
      <c r="H245" s="47"/>
      <c r="I245" s="45"/>
      <c r="J245" s="45"/>
    </row>
    <row r="246" customFormat="false" ht="18" hidden="false" customHeight="true" outlineLevel="0" collapsed="false">
      <c r="A246" s="44" t="str">
        <f aca="false">IF(B246="","",ROW()-4)</f>
        <v/>
      </c>
      <c r="B246" s="45"/>
      <c r="C246" s="46"/>
      <c r="D246" s="46"/>
      <c r="E246" s="46"/>
      <c r="F246" s="46"/>
      <c r="G246" s="47"/>
      <c r="H246" s="47"/>
      <c r="I246" s="45"/>
      <c r="J246" s="45"/>
    </row>
    <row r="247" customFormat="false" ht="18" hidden="false" customHeight="true" outlineLevel="0" collapsed="false">
      <c r="A247" s="44" t="str">
        <f aca="false">IF(B247="","",ROW()-4)</f>
        <v/>
      </c>
      <c r="B247" s="45"/>
      <c r="C247" s="46"/>
      <c r="D247" s="46"/>
      <c r="E247" s="46"/>
      <c r="F247" s="46"/>
      <c r="G247" s="47"/>
      <c r="H247" s="47"/>
      <c r="I247" s="45"/>
      <c r="J247" s="45"/>
    </row>
    <row r="248" customFormat="false" ht="18" hidden="false" customHeight="true" outlineLevel="0" collapsed="false">
      <c r="A248" s="44" t="str">
        <f aca="false">IF(B248="","",ROW()-4)</f>
        <v/>
      </c>
      <c r="B248" s="45"/>
      <c r="C248" s="46"/>
      <c r="D248" s="46"/>
      <c r="E248" s="46"/>
      <c r="F248" s="46"/>
      <c r="G248" s="47"/>
      <c r="H248" s="47"/>
      <c r="I248" s="45"/>
      <c r="J248" s="45"/>
    </row>
    <row r="249" customFormat="false" ht="18" hidden="false" customHeight="true" outlineLevel="0" collapsed="false">
      <c r="A249" s="44" t="str">
        <f aca="false">IF(B249="","",ROW()-4)</f>
        <v/>
      </c>
      <c r="B249" s="45"/>
      <c r="C249" s="46"/>
      <c r="D249" s="46"/>
      <c r="E249" s="46"/>
      <c r="F249" s="46"/>
      <c r="G249" s="47"/>
      <c r="H249" s="47"/>
      <c r="I249" s="45"/>
      <c r="J249" s="45"/>
    </row>
    <row r="250" customFormat="false" ht="18" hidden="false" customHeight="true" outlineLevel="0" collapsed="false">
      <c r="A250" s="44" t="str">
        <f aca="false">IF(B250="","",ROW()-4)</f>
        <v/>
      </c>
      <c r="B250" s="45"/>
      <c r="C250" s="46"/>
      <c r="D250" s="46"/>
      <c r="E250" s="46"/>
      <c r="F250" s="46"/>
      <c r="G250" s="47"/>
      <c r="H250" s="47"/>
      <c r="I250" s="45"/>
      <c r="J250" s="45"/>
    </row>
    <row r="251" customFormat="false" ht="18" hidden="false" customHeight="true" outlineLevel="0" collapsed="false">
      <c r="A251" s="44" t="str">
        <f aca="false">IF(B251="","",ROW()-4)</f>
        <v/>
      </c>
      <c r="B251" s="45"/>
      <c r="C251" s="46"/>
      <c r="D251" s="46"/>
      <c r="E251" s="46"/>
      <c r="F251" s="46"/>
      <c r="G251" s="47"/>
      <c r="H251" s="47"/>
      <c r="I251" s="45"/>
      <c r="J251" s="45"/>
    </row>
    <row r="252" customFormat="false" ht="18" hidden="false" customHeight="true" outlineLevel="0" collapsed="false">
      <c r="A252" s="44" t="str">
        <f aca="false">IF(B252="","",ROW()-4)</f>
        <v/>
      </c>
      <c r="B252" s="45"/>
      <c r="C252" s="46"/>
      <c r="D252" s="46"/>
      <c r="E252" s="46"/>
      <c r="F252" s="46"/>
      <c r="G252" s="47"/>
      <c r="H252" s="47"/>
      <c r="I252" s="45"/>
      <c r="J252" s="45"/>
    </row>
    <row r="253" customFormat="false" ht="18" hidden="false" customHeight="true" outlineLevel="0" collapsed="false">
      <c r="A253" s="44" t="str">
        <f aca="false">IF(B253="","",ROW()-4)</f>
        <v/>
      </c>
      <c r="B253" s="45"/>
      <c r="C253" s="46"/>
      <c r="D253" s="46"/>
      <c r="E253" s="46"/>
      <c r="F253" s="46"/>
      <c r="G253" s="47"/>
      <c r="H253" s="47"/>
      <c r="I253" s="45"/>
      <c r="J253" s="45"/>
    </row>
    <row r="254" customFormat="false" ht="18" hidden="false" customHeight="true" outlineLevel="0" collapsed="false">
      <c r="A254" s="44" t="str">
        <f aca="false">IF(B254="","",ROW()-4)</f>
        <v/>
      </c>
      <c r="B254" s="45"/>
      <c r="C254" s="46"/>
      <c r="D254" s="46"/>
      <c r="E254" s="46"/>
      <c r="F254" s="46"/>
      <c r="G254" s="47"/>
      <c r="H254" s="47"/>
      <c r="I254" s="45"/>
      <c r="J254" s="45"/>
    </row>
    <row r="255" customFormat="false" ht="18" hidden="false" customHeight="true" outlineLevel="0" collapsed="false">
      <c r="A255" s="44" t="str">
        <f aca="false">IF(B255="","",ROW()-4)</f>
        <v/>
      </c>
      <c r="B255" s="45"/>
      <c r="C255" s="46"/>
      <c r="D255" s="46"/>
      <c r="E255" s="46"/>
      <c r="F255" s="46"/>
      <c r="G255" s="47"/>
      <c r="H255" s="47"/>
      <c r="I255" s="45"/>
      <c r="J255" s="45"/>
    </row>
    <row r="256" customFormat="false" ht="18" hidden="false" customHeight="true" outlineLevel="0" collapsed="false">
      <c r="A256" s="44" t="str">
        <f aca="false">IF(B256="","",ROW()-4)</f>
        <v/>
      </c>
      <c r="B256" s="45"/>
      <c r="C256" s="46"/>
      <c r="D256" s="46"/>
      <c r="E256" s="46"/>
      <c r="F256" s="46"/>
      <c r="G256" s="47"/>
      <c r="H256" s="47"/>
      <c r="I256" s="45"/>
      <c r="J256" s="45"/>
    </row>
    <row r="257" customFormat="false" ht="18" hidden="false" customHeight="true" outlineLevel="0" collapsed="false">
      <c r="A257" s="44" t="str">
        <f aca="false">IF(B257="","",ROW()-4)</f>
        <v/>
      </c>
      <c r="B257" s="45"/>
      <c r="C257" s="46"/>
      <c r="D257" s="46"/>
      <c r="E257" s="46"/>
      <c r="F257" s="46"/>
      <c r="G257" s="47"/>
      <c r="H257" s="47"/>
      <c r="I257" s="45"/>
      <c r="J257" s="45"/>
    </row>
    <row r="258" customFormat="false" ht="18" hidden="false" customHeight="true" outlineLevel="0" collapsed="false">
      <c r="A258" s="44" t="str">
        <f aca="false">IF(B258="","",ROW()-4)</f>
        <v/>
      </c>
      <c r="B258" s="45"/>
      <c r="C258" s="46"/>
      <c r="D258" s="46"/>
      <c r="E258" s="46"/>
      <c r="F258" s="46"/>
      <c r="G258" s="47"/>
      <c r="H258" s="47"/>
      <c r="I258" s="45"/>
      <c r="J258" s="45"/>
    </row>
    <row r="259" customFormat="false" ht="18" hidden="false" customHeight="true" outlineLevel="0" collapsed="false">
      <c r="A259" s="44" t="str">
        <f aca="false">IF(B259="","",ROW()-4)</f>
        <v/>
      </c>
      <c r="B259" s="45"/>
      <c r="C259" s="46"/>
      <c r="D259" s="46"/>
      <c r="E259" s="46"/>
      <c r="F259" s="46"/>
      <c r="G259" s="47"/>
      <c r="H259" s="47"/>
      <c r="I259" s="45"/>
      <c r="J259" s="45"/>
    </row>
    <row r="260" customFormat="false" ht="18" hidden="false" customHeight="true" outlineLevel="0" collapsed="false">
      <c r="A260" s="44" t="str">
        <f aca="false">IF(B260="","",ROW()-4)</f>
        <v/>
      </c>
      <c r="B260" s="45"/>
      <c r="C260" s="46"/>
      <c r="D260" s="46"/>
      <c r="E260" s="46"/>
      <c r="F260" s="46"/>
      <c r="G260" s="47"/>
      <c r="H260" s="47"/>
      <c r="I260" s="45"/>
      <c r="J260" s="45"/>
    </row>
    <row r="261" customFormat="false" ht="18" hidden="false" customHeight="true" outlineLevel="0" collapsed="false">
      <c r="A261" s="44" t="str">
        <f aca="false">IF(B261="","",ROW()-4)</f>
        <v/>
      </c>
      <c r="B261" s="45"/>
      <c r="C261" s="46"/>
      <c r="D261" s="46"/>
      <c r="E261" s="46"/>
      <c r="F261" s="46"/>
      <c r="G261" s="47"/>
      <c r="H261" s="47"/>
      <c r="I261" s="45"/>
      <c r="J261" s="45"/>
    </row>
    <row r="262" customFormat="false" ht="18" hidden="false" customHeight="true" outlineLevel="0" collapsed="false">
      <c r="A262" s="44" t="str">
        <f aca="false">IF(B262="","",ROW()-4)</f>
        <v/>
      </c>
      <c r="B262" s="45"/>
      <c r="C262" s="46"/>
      <c r="D262" s="46"/>
      <c r="E262" s="46"/>
      <c r="F262" s="46"/>
      <c r="G262" s="47"/>
      <c r="H262" s="47"/>
      <c r="I262" s="45"/>
      <c r="J262" s="45"/>
    </row>
    <row r="263" customFormat="false" ht="18" hidden="false" customHeight="true" outlineLevel="0" collapsed="false">
      <c r="A263" s="44" t="str">
        <f aca="false">IF(B263="","",ROW()-4)</f>
        <v/>
      </c>
      <c r="B263" s="45"/>
      <c r="C263" s="46"/>
      <c r="D263" s="46"/>
      <c r="E263" s="46"/>
      <c r="F263" s="46"/>
      <c r="G263" s="47"/>
      <c r="H263" s="47"/>
      <c r="I263" s="45"/>
      <c r="J263" s="45"/>
    </row>
    <row r="264" customFormat="false" ht="18" hidden="false" customHeight="true" outlineLevel="0" collapsed="false">
      <c r="A264" s="44" t="str">
        <f aca="false">IF(B264="","",ROW()-4)</f>
        <v/>
      </c>
      <c r="B264" s="45"/>
      <c r="C264" s="46"/>
      <c r="D264" s="46"/>
      <c r="E264" s="46"/>
      <c r="F264" s="46"/>
      <c r="G264" s="47"/>
      <c r="H264" s="47"/>
      <c r="I264" s="45"/>
      <c r="J264" s="45"/>
    </row>
    <row r="265" customFormat="false" ht="18" hidden="false" customHeight="true" outlineLevel="0" collapsed="false">
      <c r="A265" s="44" t="str">
        <f aca="false">IF(B265="","",ROW()-4)</f>
        <v/>
      </c>
      <c r="B265" s="45"/>
      <c r="C265" s="46"/>
      <c r="D265" s="46"/>
      <c r="E265" s="46"/>
      <c r="F265" s="46"/>
      <c r="G265" s="47"/>
      <c r="H265" s="47"/>
      <c r="I265" s="45"/>
      <c r="J265" s="45"/>
    </row>
    <row r="266" customFormat="false" ht="18" hidden="false" customHeight="true" outlineLevel="0" collapsed="false">
      <c r="A266" s="44" t="str">
        <f aca="false">IF(B266="","",ROW()-4)</f>
        <v/>
      </c>
      <c r="B266" s="45"/>
      <c r="C266" s="46"/>
      <c r="D266" s="46"/>
      <c r="E266" s="46"/>
      <c r="F266" s="46"/>
      <c r="G266" s="47"/>
      <c r="H266" s="47"/>
      <c r="I266" s="45"/>
      <c r="J266" s="45"/>
    </row>
    <row r="267" customFormat="false" ht="18" hidden="false" customHeight="true" outlineLevel="0" collapsed="false">
      <c r="A267" s="44" t="str">
        <f aca="false">IF(B267="","",ROW()-4)</f>
        <v/>
      </c>
      <c r="B267" s="45"/>
      <c r="C267" s="46"/>
      <c r="D267" s="46"/>
      <c r="E267" s="46"/>
      <c r="F267" s="46"/>
      <c r="G267" s="47"/>
      <c r="H267" s="47"/>
      <c r="I267" s="45"/>
      <c r="J267" s="45"/>
    </row>
    <row r="268" customFormat="false" ht="18" hidden="false" customHeight="true" outlineLevel="0" collapsed="false">
      <c r="A268" s="44" t="str">
        <f aca="false">IF(B268="","",ROW()-4)</f>
        <v/>
      </c>
      <c r="B268" s="45"/>
      <c r="C268" s="46"/>
      <c r="D268" s="46"/>
      <c r="E268" s="46"/>
      <c r="F268" s="46"/>
      <c r="G268" s="47"/>
      <c r="H268" s="47"/>
      <c r="I268" s="45"/>
      <c r="J268" s="45"/>
    </row>
    <row r="269" customFormat="false" ht="18" hidden="false" customHeight="true" outlineLevel="0" collapsed="false">
      <c r="A269" s="44" t="str">
        <f aca="false">IF(B269="","",ROW()-4)</f>
        <v/>
      </c>
      <c r="B269" s="45"/>
      <c r="C269" s="46"/>
      <c r="D269" s="46"/>
      <c r="E269" s="46"/>
      <c r="F269" s="46"/>
      <c r="G269" s="47"/>
      <c r="H269" s="47"/>
      <c r="I269" s="45"/>
      <c r="J269" s="45"/>
    </row>
    <row r="270" customFormat="false" ht="18" hidden="false" customHeight="true" outlineLevel="0" collapsed="false">
      <c r="A270" s="44" t="str">
        <f aca="false">IF(B270="","",ROW()-4)</f>
        <v/>
      </c>
      <c r="B270" s="45"/>
      <c r="C270" s="46"/>
      <c r="D270" s="46"/>
      <c r="E270" s="46"/>
      <c r="F270" s="46"/>
      <c r="G270" s="47"/>
      <c r="H270" s="47"/>
      <c r="I270" s="45"/>
      <c r="J270" s="45"/>
    </row>
    <row r="271" customFormat="false" ht="18" hidden="false" customHeight="true" outlineLevel="0" collapsed="false">
      <c r="A271" s="44" t="str">
        <f aca="false">IF(B271="","",ROW()-4)</f>
        <v/>
      </c>
      <c r="B271" s="45"/>
      <c r="C271" s="46"/>
      <c r="D271" s="46"/>
      <c r="E271" s="46"/>
      <c r="F271" s="46"/>
      <c r="G271" s="47"/>
      <c r="H271" s="47"/>
      <c r="I271" s="45"/>
      <c r="J271" s="45"/>
    </row>
    <row r="272" customFormat="false" ht="18" hidden="false" customHeight="true" outlineLevel="0" collapsed="false">
      <c r="A272" s="44" t="str">
        <f aca="false">IF(B272="","",ROW()-4)</f>
        <v/>
      </c>
      <c r="B272" s="45"/>
      <c r="C272" s="46"/>
      <c r="D272" s="46"/>
      <c r="E272" s="46"/>
      <c r="F272" s="46"/>
      <c r="G272" s="47"/>
      <c r="H272" s="47"/>
      <c r="I272" s="45"/>
      <c r="J272" s="45"/>
    </row>
    <row r="273" customFormat="false" ht="18" hidden="false" customHeight="true" outlineLevel="0" collapsed="false">
      <c r="A273" s="44" t="str">
        <f aca="false">IF(B273="","",ROW()-4)</f>
        <v/>
      </c>
      <c r="B273" s="45"/>
      <c r="C273" s="46"/>
      <c r="D273" s="46"/>
      <c r="E273" s="46"/>
      <c r="F273" s="46"/>
      <c r="G273" s="47"/>
      <c r="H273" s="47"/>
      <c r="I273" s="45"/>
      <c r="J273" s="45"/>
    </row>
    <row r="274" customFormat="false" ht="18" hidden="false" customHeight="true" outlineLevel="0" collapsed="false">
      <c r="A274" s="44" t="str">
        <f aca="false">IF(B274="","",ROW()-4)</f>
        <v/>
      </c>
      <c r="B274" s="45"/>
      <c r="C274" s="46"/>
      <c r="D274" s="46"/>
      <c r="E274" s="46"/>
      <c r="F274" s="46"/>
      <c r="G274" s="47"/>
      <c r="H274" s="47"/>
      <c r="I274" s="45"/>
      <c r="J274" s="45"/>
    </row>
    <row r="275" customFormat="false" ht="18" hidden="false" customHeight="true" outlineLevel="0" collapsed="false">
      <c r="A275" s="44" t="str">
        <f aca="false">IF(B275="","",ROW()-4)</f>
        <v/>
      </c>
      <c r="B275" s="45"/>
      <c r="C275" s="46"/>
      <c r="D275" s="46"/>
      <c r="E275" s="46"/>
      <c r="F275" s="46"/>
      <c r="G275" s="47"/>
      <c r="H275" s="47"/>
      <c r="I275" s="45"/>
      <c r="J275" s="45"/>
    </row>
    <row r="276" customFormat="false" ht="18" hidden="false" customHeight="true" outlineLevel="0" collapsed="false">
      <c r="A276" s="44" t="str">
        <f aca="false">IF(B276="","",ROW()-4)</f>
        <v/>
      </c>
      <c r="B276" s="45"/>
      <c r="C276" s="46"/>
      <c r="D276" s="46"/>
      <c r="E276" s="46"/>
      <c r="F276" s="46"/>
      <c r="G276" s="47"/>
      <c r="H276" s="47"/>
      <c r="I276" s="45"/>
      <c r="J276" s="45"/>
    </row>
    <row r="277" customFormat="false" ht="18" hidden="false" customHeight="true" outlineLevel="0" collapsed="false">
      <c r="A277" s="44" t="str">
        <f aca="false">IF(B277="","",ROW()-4)</f>
        <v/>
      </c>
      <c r="B277" s="45"/>
      <c r="C277" s="46"/>
      <c r="D277" s="46"/>
      <c r="E277" s="46"/>
      <c r="F277" s="46"/>
      <c r="G277" s="47"/>
      <c r="H277" s="47"/>
      <c r="I277" s="45"/>
      <c r="J277" s="45"/>
    </row>
    <row r="278" customFormat="false" ht="18" hidden="false" customHeight="true" outlineLevel="0" collapsed="false">
      <c r="A278" s="44" t="str">
        <f aca="false">IF(B278="","",ROW()-4)</f>
        <v/>
      </c>
      <c r="B278" s="45"/>
      <c r="C278" s="46"/>
      <c r="D278" s="46"/>
      <c r="E278" s="46"/>
      <c r="F278" s="46"/>
      <c r="G278" s="47"/>
      <c r="H278" s="47"/>
      <c r="I278" s="45"/>
      <c r="J278" s="45"/>
    </row>
    <row r="279" customFormat="false" ht="18" hidden="false" customHeight="true" outlineLevel="0" collapsed="false">
      <c r="A279" s="44" t="str">
        <f aca="false">IF(B279="","",ROW()-4)</f>
        <v/>
      </c>
      <c r="B279" s="45"/>
      <c r="C279" s="46"/>
      <c r="D279" s="46"/>
      <c r="E279" s="46"/>
      <c r="F279" s="46"/>
      <c r="G279" s="47"/>
      <c r="H279" s="47"/>
      <c r="I279" s="45"/>
      <c r="J279" s="45"/>
    </row>
    <row r="280" customFormat="false" ht="18" hidden="false" customHeight="true" outlineLevel="0" collapsed="false">
      <c r="A280" s="44" t="str">
        <f aca="false">IF(B280="","",ROW()-4)</f>
        <v/>
      </c>
      <c r="B280" s="45"/>
      <c r="C280" s="46"/>
      <c r="D280" s="46"/>
      <c r="E280" s="46"/>
      <c r="F280" s="46"/>
      <c r="G280" s="47"/>
      <c r="H280" s="47"/>
      <c r="I280" s="45"/>
      <c r="J280" s="45"/>
    </row>
    <row r="281" customFormat="false" ht="18" hidden="false" customHeight="true" outlineLevel="0" collapsed="false">
      <c r="A281" s="44" t="str">
        <f aca="false">IF(B281="","",ROW()-4)</f>
        <v/>
      </c>
      <c r="B281" s="45"/>
      <c r="C281" s="46"/>
      <c r="D281" s="46"/>
      <c r="E281" s="46"/>
      <c r="F281" s="46"/>
      <c r="G281" s="47"/>
      <c r="H281" s="47"/>
      <c r="I281" s="45"/>
      <c r="J281" s="45"/>
    </row>
    <row r="282" customFormat="false" ht="18" hidden="false" customHeight="true" outlineLevel="0" collapsed="false">
      <c r="A282" s="44" t="str">
        <f aca="false">IF(B282="","",ROW()-4)</f>
        <v/>
      </c>
      <c r="B282" s="45"/>
      <c r="C282" s="46"/>
      <c r="D282" s="46"/>
      <c r="E282" s="46"/>
      <c r="F282" s="46"/>
      <c r="G282" s="47"/>
      <c r="H282" s="47"/>
      <c r="I282" s="45"/>
      <c r="J282" s="45"/>
    </row>
    <row r="283" customFormat="false" ht="18" hidden="false" customHeight="true" outlineLevel="0" collapsed="false">
      <c r="A283" s="44" t="str">
        <f aca="false">IF(B283="","",ROW()-4)</f>
        <v/>
      </c>
      <c r="B283" s="45"/>
      <c r="C283" s="46"/>
      <c r="D283" s="46"/>
      <c r="E283" s="46"/>
      <c r="F283" s="46"/>
      <c r="G283" s="47"/>
      <c r="H283" s="47"/>
      <c r="I283" s="45"/>
      <c r="J283" s="45"/>
    </row>
    <row r="284" customFormat="false" ht="18" hidden="false" customHeight="true" outlineLevel="0" collapsed="false">
      <c r="A284" s="44" t="str">
        <f aca="false">IF(B284="","",ROW()-4)</f>
        <v/>
      </c>
      <c r="B284" s="45"/>
      <c r="C284" s="46"/>
      <c r="D284" s="46"/>
      <c r="E284" s="46"/>
      <c r="F284" s="46"/>
      <c r="G284" s="47"/>
      <c r="H284" s="47"/>
      <c r="I284" s="45"/>
      <c r="J284" s="45"/>
    </row>
    <row r="285" customFormat="false" ht="18" hidden="false" customHeight="true" outlineLevel="0" collapsed="false">
      <c r="A285" s="44" t="str">
        <f aca="false">IF(B285="","",ROW()-4)</f>
        <v/>
      </c>
      <c r="B285" s="45"/>
      <c r="C285" s="46"/>
      <c r="D285" s="46"/>
      <c r="E285" s="46"/>
      <c r="F285" s="46"/>
      <c r="G285" s="47"/>
      <c r="H285" s="47"/>
      <c r="I285" s="45"/>
      <c r="J285" s="45"/>
    </row>
    <row r="286" customFormat="false" ht="18" hidden="false" customHeight="true" outlineLevel="0" collapsed="false">
      <c r="A286" s="44" t="str">
        <f aca="false">IF(B286="","",ROW()-4)</f>
        <v/>
      </c>
      <c r="B286" s="45"/>
      <c r="C286" s="46"/>
      <c r="D286" s="46"/>
      <c r="E286" s="46"/>
      <c r="F286" s="46"/>
      <c r="G286" s="47"/>
      <c r="H286" s="47"/>
      <c r="I286" s="45"/>
      <c r="J286" s="45"/>
    </row>
    <row r="287" customFormat="false" ht="18" hidden="false" customHeight="true" outlineLevel="0" collapsed="false">
      <c r="A287" s="44" t="str">
        <f aca="false">IF(B287="","",ROW()-4)</f>
        <v/>
      </c>
      <c r="B287" s="45"/>
      <c r="C287" s="46"/>
      <c r="D287" s="46"/>
      <c r="E287" s="46"/>
      <c r="F287" s="46"/>
      <c r="G287" s="47"/>
      <c r="H287" s="47"/>
      <c r="I287" s="45"/>
      <c r="J287" s="45"/>
    </row>
    <row r="288" customFormat="false" ht="18" hidden="false" customHeight="true" outlineLevel="0" collapsed="false">
      <c r="A288" s="44" t="str">
        <f aca="false">IF(B288="","",ROW()-4)</f>
        <v/>
      </c>
      <c r="B288" s="45"/>
      <c r="C288" s="46"/>
      <c r="D288" s="46"/>
      <c r="E288" s="46"/>
      <c r="F288" s="46"/>
      <c r="G288" s="47"/>
      <c r="H288" s="47"/>
      <c r="I288" s="45"/>
      <c r="J288" s="45"/>
    </row>
    <row r="289" customFormat="false" ht="18" hidden="false" customHeight="true" outlineLevel="0" collapsed="false">
      <c r="A289" s="44" t="str">
        <f aca="false">IF(B289="","",ROW()-4)</f>
        <v/>
      </c>
      <c r="B289" s="45"/>
      <c r="C289" s="46"/>
      <c r="D289" s="46"/>
      <c r="E289" s="46"/>
      <c r="F289" s="46"/>
      <c r="G289" s="47"/>
      <c r="H289" s="47"/>
      <c r="I289" s="45"/>
      <c r="J289" s="45"/>
    </row>
    <row r="290" customFormat="false" ht="18" hidden="false" customHeight="true" outlineLevel="0" collapsed="false">
      <c r="A290" s="44" t="str">
        <f aca="false">IF(B290="","",ROW()-4)</f>
        <v/>
      </c>
      <c r="B290" s="45"/>
      <c r="C290" s="46"/>
      <c r="D290" s="46"/>
      <c r="E290" s="46"/>
      <c r="F290" s="46"/>
      <c r="G290" s="47"/>
      <c r="H290" s="47"/>
      <c r="I290" s="45"/>
      <c r="J290" s="45"/>
    </row>
    <row r="291" customFormat="false" ht="18" hidden="false" customHeight="true" outlineLevel="0" collapsed="false">
      <c r="A291" s="44" t="str">
        <f aca="false">IF(B291="","",ROW()-4)</f>
        <v/>
      </c>
      <c r="B291" s="45"/>
      <c r="C291" s="46"/>
      <c r="D291" s="46"/>
      <c r="E291" s="46"/>
      <c r="F291" s="46"/>
      <c r="G291" s="47"/>
      <c r="H291" s="47"/>
      <c r="I291" s="45"/>
      <c r="J291" s="45"/>
    </row>
    <row r="292" customFormat="false" ht="18" hidden="false" customHeight="true" outlineLevel="0" collapsed="false">
      <c r="A292" s="44" t="str">
        <f aca="false">IF(B292="","",ROW()-4)</f>
        <v/>
      </c>
      <c r="B292" s="45"/>
      <c r="C292" s="46"/>
      <c r="D292" s="46"/>
      <c r="E292" s="46"/>
      <c r="F292" s="46"/>
      <c r="G292" s="47"/>
      <c r="H292" s="47"/>
      <c r="I292" s="45"/>
      <c r="J292" s="45"/>
    </row>
    <row r="293" customFormat="false" ht="18" hidden="false" customHeight="true" outlineLevel="0" collapsed="false">
      <c r="A293" s="44" t="str">
        <f aca="false">IF(B293="","",ROW()-4)</f>
        <v/>
      </c>
      <c r="B293" s="45"/>
      <c r="C293" s="46"/>
      <c r="D293" s="46"/>
      <c r="E293" s="46"/>
      <c r="F293" s="46"/>
      <c r="G293" s="47"/>
      <c r="H293" s="47"/>
      <c r="I293" s="45"/>
      <c r="J293" s="45"/>
    </row>
    <row r="294" customFormat="false" ht="18" hidden="false" customHeight="true" outlineLevel="0" collapsed="false">
      <c r="A294" s="44" t="str">
        <f aca="false">IF(B294="","",ROW()-4)</f>
        <v/>
      </c>
      <c r="B294" s="45"/>
      <c r="C294" s="46"/>
      <c r="D294" s="46"/>
      <c r="E294" s="46"/>
      <c r="F294" s="46"/>
      <c r="G294" s="47"/>
      <c r="H294" s="47"/>
      <c r="I294" s="45"/>
      <c r="J294" s="45"/>
    </row>
    <row r="295" customFormat="false" ht="18" hidden="false" customHeight="true" outlineLevel="0" collapsed="false">
      <c r="A295" s="44" t="str">
        <f aca="false">IF(B295="","",ROW()-4)</f>
        <v/>
      </c>
      <c r="B295" s="45"/>
      <c r="C295" s="46"/>
      <c r="D295" s="46"/>
      <c r="E295" s="46"/>
      <c r="F295" s="46"/>
      <c r="G295" s="47"/>
      <c r="H295" s="47"/>
      <c r="I295" s="45"/>
      <c r="J295" s="45"/>
    </row>
    <row r="296" customFormat="false" ht="18" hidden="false" customHeight="true" outlineLevel="0" collapsed="false">
      <c r="A296" s="44" t="str">
        <f aca="false">IF(B296="","",ROW()-4)</f>
        <v/>
      </c>
      <c r="B296" s="45"/>
      <c r="C296" s="46"/>
      <c r="D296" s="46"/>
      <c r="E296" s="46"/>
      <c r="F296" s="46"/>
      <c r="G296" s="47"/>
      <c r="H296" s="47"/>
      <c r="I296" s="45"/>
      <c r="J296" s="45"/>
    </row>
    <row r="297" customFormat="false" ht="18" hidden="false" customHeight="true" outlineLevel="0" collapsed="false">
      <c r="A297" s="44" t="str">
        <f aca="false">IF(B297="","",ROW()-4)</f>
        <v/>
      </c>
      <c r="B297" s="45"/>
      <c r="C297" s="46"/>
      <c r="D297" s="46"/>
      <c r="E297" s="46"/>
      <c r="F297" s="46"/>
      <c r="G297" s="47"/>
      <c r="H297" s="47"/>
      <c r="I297" s="45"/>
      <c r="J297" s="45"/>
    </row>
    <row r="298" customFormat="false" ht="18" hidden="false" customHeight="true" outlineLevel="0" collapsed="false">
      <c r="A298" s="44" t="str">
        <f aca="false">IF(B298="","",ROW()-4)</f>
        <v/>
      </c>
      <c r="B298" s="45"/>
      <c r="C298" s="46"/>
      <c r="D298" s="46"/>
      <c r="E298" s="46"/>
      <c r="F298" s="46"/>
      <c r="G298" s="47"/>
      <c r="H298" s="47"/>
      <c r="I298" s="45"/>
      <c r="J298" s="45"/>
    </row>
    <row r="299" customFormat="false" ht="18" hidden="false" customHeight="true" outlineLevel="0" collapsed="false">
      <c r="A299" s="44" t="str">
        <f aca="false">IF(B299="","",ROW()-4)</f>
        <v/>
      </c>
      <c r="B299" s="45"/>
      <c r="C299" s="46"/>
      <c r="D299" s="46"/>
      <c r="E299" s="46"/>
      <c r="F299" s="46"/>
      <c r="G299" s="47"/>
      <c r="H299" s="47"/>
      <c r="I299" s="45"/>
      <c r="J299" s="45"/>
    </row>
    <row r="300" customFormat="false" ht="18" hidden="false" customHeight="true" outlineLevel="0" collapsed="false">
      <c r="A300" s="44" t="str">
        <f aca="false">IF(B300="","",ROW()-4)</f>
        <v/>
      </c>
      <c r="B300" s="45"/>
      <c r="C300" s="46"/>
      <c r="D300" s="46"/>
      <c r="E300" s="46"/>
      <c r="F300" s="46"/>
      <c r="G300" s="47"/>
      <c r="H300" s="47"/>
      <c r="I300" s="45"/>
      <c r="J300" s="45"/>
    </row>
    <row r="301" customFormat="false" ht="18" hidden="false" customHeight="true" outlineLevel="0" collapsed="false">
      <c r="A301" s="44" t="str">
        <f aca="false">IF(B301="","",ROW()-4)</f>
        <v/>
      </c>
      <c r="B301" s="45"/>
      <c r="C301" s="46"/>
      <c r="D301" s="46"/>
      <c r="E301" s="46"/>
      <c r="F301" s="46"/>
      <c r="G301" s="47"/>
      <c r="H301" s="47"/>
      <c r="I301" s="45"/>
      <c r="J301" s="45"/>
    </row>
    <row r="302" customFormat="false" ht="18" hidden="false" customHeight="true" outlineLevel="0" collapsed="false">
      <c r="A302" s="44" t="str">
        <f aca="false">IF(B302="","",ROW()-4)</f>
        <v/>
      </c>
      <c r="B302" s="45"/>
      <c r="C302" s="46"/>
      <c r="D302" s="46"/>
      <c r="E302" s="46"/>
      <c r="F302" s="46"/>
      <c r="G302" s="47"/>
      <c r="H302" s="47"/>
      <c r="I302" s="45"/>
      <c r="J302" s="45"/>
    </row>
    <row r="303" customFormat="false" ht="18" hidden="false" customHeight="true" outlineLevel="0" collapsed="false">
      <c r="A303" s="44" t="str">
        <f aca="false">IF(B303="","",ROW()-4)</f>
        <v/>
      </c>
      <c r="B303" s="45"/>
      <c r="C303" s="46"/>
      <c r="D303" s="46"/>
      <c r="E303" s="46"/>
      <c r="F303" s="46"/>
      <c r="G303" s="47"/>
      <c r="H303" s="47"/>
      <c r="I303" s="45"/>
      <c r="J303" s="45"/>
    </row>
    <row r="304" customFormat="false" ht="18" hidden="false" customHeight="true" outlineLevel="0" collapsed="false">
      <c r="A304" s="44" t="str">
        <f aca="false">IF(B304="","",ROW()-4)</f>
        <v/>
      </c>
      <c r="B304" s="45"/>
      <c r="C304" s="46"/>
      <c r="D304" s="46"/>
      <c r="E304" s="46"/>
      <c r="F304" s="46"/>
      <c r="G304" s="47"/>
      <c r="H304" s="47"/>
      <c r="I304" s="45"/>
      <c r="J304" s="45"/>
    </row>
    <row r="305" customFormat="false" ht="18" hidden="false" customHeight="true" outlineLevel="0" collapsed="false">
      <c r="A305" s="44" t="str">
        <f aca="false">IF(B305="","",ROW()-4)</f>
        <v/>
      </c>
      <c r="B305" s="45"/>
      <c r="C305" s="46"/>
      <c r="D305" s="46"/>
      <c r="E305" s="46"/>
      <c r="F305" s="46"/>
      <c r="G305" s="47"/>
      <c r="H305" s="47"/>
      <c r="I305" s="45"/>
      <c r="J305" s="45"/>
    </row>
    <row r="306" customFormat="false" ht="18" hidden="false" customHeight="true" outlineLevel="0" collapsed="false">
      <c r="A306" s="44" t="str">
        <f aca="false">IF(B306="","",ROW()-4)</f>
        <v/>
      </c>
      <c r="B306" s="45"/>
      <c r="C306" s="46"/>
      <c r="D306" s="46"/>
      <c r="E306" s="46"/>
      <c r="F306" s="46"/>
      <c r="G306" s="47"/>
      <c r="H306" s="47"/>
      <c r="I306" s="45"/>
      <c r="J306" s="45"/>
    </row>
    <row r="307" customFormat="false" ht="18" hidden="false" customHeight="true" outlineLevel="0" collapsed="false">
      <c r="A307" s="44" t="str">
        <f aca="false">IF(B307="","",ROW()-4)</f>
        <v/>
      </c>
      <c r="B307" s="45"/>
      <c r="C307" s="46"/>
      <c r="D307" s="46"/>
      <c r="E307" s="46"/>
      <c r="F307" s="46"/>
      <c r="G307" s="47"/>
      <c r="H307" s="47"/>
      <c r="I307" s="45"/>
      <c r="J307" s="45"/>
    </row>
    <row r="308" customFormat="false" ht="18" hidden="false" customHeight="true" outlineLevel="0" collapsed="false">
      <c r="A308" s="44" t="str">
        <f aca="false">IF(B308="","",ROW()-4)</f>
        <v/>
      </c>
      <c r="B308" s="45"/>
      <c r="C308" s="46"/>
      <c r="D308" s="46"/>
      <c r="E308" s="46"/>
      <c r="F308" s="46"/>
      <c r="G308" s="47"/>
      <c r="H308" s="47"/>
      <c r="I308" s="45"/>
      <c r="J308" s="45"/>
    </row>
    <row r="309" customFormat="false" ht="18" hidden="false" customHeight="true" outlineLevel="0" collapsed="false">
      <c r="A309" s="44" t="str">
        <f aca="false">IF(B309="","",ROW()-4)</f>
        <v/>
      </c>
      <c r="B309" s="45"/>
      <c r="C309" s="46"/>
      <c r="D309" s="46"/>
      <c r="E309" s="46"/>
      <c r="F309" s="46"/>
      <c r="G309" s="47"/>
      <c r="H309" s="47"/>
      <c r="I309" s="45"/>
      <c r="J309" s="45"/>
    </row>
    <row r="310" customFormat="false" ht="18" hidden="false" customHeight="true" outlineLevel="0" collapsed="false">
      <c r="A310" s="44" t="str">
        <f aca="false">IF(B310="","",ROW()-4)</f>
        <v/>
      </c>
      <c r="B310" s="45"/>
      <c r="C310" s="46"/>
      <c r="D310" s="46"/>
      <c r="E310" s="46"/>
      <c r="F310" s="46"/>
      <c r="G310" s="47"/>
      <c r="H310" s="47"/>
      <c r="I310" s="45"/>
      <c r="J310" s="45"/>
    </row>
    <row r="311" customFormat="false" ht="18" hidden="false" customHeight="true" outlineLevel="0" collapsed="false">
      <c r="A311" s="44" t="str">
        <f aca="false">IF(B311="","",ROW()-4)</f>
        <v/>
      </c>
      <c r="B311" s="45"/>
      <c r="C311" s="46"/>
      <c r="D311" s="46"/>
      <c r="E311" s="46"/>
      <c r="F311" s="46"/>
      <c r="G311" s="47"/>
      <c r="H311" s="47"/>
      <c r="I311" s="45"/>
      <c r="J311" s="45"/>
    </row>
    <row r="312" customFormat="false" ht="18" hidden="false" customHeight="true" outlineLevel="0" collapsed="false">
      <c r="A312" s="44" t="str">
        <f aca="false">IF(B312="","",ROW()-4)</f>
        <v/>
      </c>
      <c r="B312" s="45"/>
      <c r="C312" s="46"/>
      <c r="D312" s="46"/>
      <c r="E312" s="46"/>
      <c r="F312" s="46"/>
      <c r="G312" s="47"/>
      <c r="H312" s="47"/>
      <c r="I312" s="45"/>
      <c r="J312" s="45"/>
    </row>
    <row r="313" customFormat="false" ht="18" hidden="false" customHeight="true" outlineLevel="0" collapsed="false">
      <c r="A313" s="44" t="str">
        <f aca="false">IF(B313="","",ROW()-4)</f>
        <v/>
      </c>
      <c r="B313" s="45"/>
      <c r="C313" s="46"/>
      <c r="D313" s="46"/>
      <c r="E313" s="46"/>
      <c r="F313" s="46"/>
      <c r="G313" s="47"/>
      <c r="H313" s="47"/>
      <c r="I313" s="45"/>
      <c r="J313" s="45"/>
    </row>
    <row r="314" customFormat="false" ht="18" hidden="false" customHeight="true" outlineLevel="0" collapsed="false">
      <c r="A314" s="44" t="str">
        <f aca="false">IF(B314="","",ROW()-4)</f>
        <v/>
      </c>
      <c r="B314" s="45"/>
      <c r="C314" s="46"/>
      <c r="D314" s="46"/>
      <c r="E314" s="46"/>
      <c r="F314" s="46"/>
      <c r="G314" s="47"/>
      <c r="H314" s="47"/>
      <c r="I314" s="45"/>
      <c r="J314" s="45"/>
    </row>
    <row r="315" customFormat="false" ht="18" hidden="false" customHeight="true" outlineLevel="0" collapsed="false">
      <c r="A315" s="44" t="str">
        <f aca="false">IF(B315="","",ROW()-4)</f>
        <v/>
      </c>
      <c r="B315" s="45"/>
      <c r="C315" s="46"/>
      <c r="D315" s="46"/>
      <c r="E315" s="46"/>
      <c r="F315" s="46"/>
      <c r="G315" s="47"/>
      <c r="H315" s="47"/>
      <c r="I315" s="45"/>
      <c r="J315" s="45"/>
    </row>
    <row r="316" customFormat="false" ht="18" hidden="false" customHeight="true" outlineLevel="0" collapsed="false">
      <c r="A316" s="44" t="str">
        <f aca="false">IF(B316="","",ROW()-4)</f>
        <v/>
      </c>
      <c r="B316" s="45"/>
      <c r="C316" s="46"/>
      <c r="D316" s="46"/>
      <c r="E316" s="46"/>
      <c r="F316" s="46"/>
      <c r="G316" s="47"/>
      <c r="H316" s="47"/>
      <c r="I316" s="45"/>
      <c r="J316" s="45"/>
    </row>
    <row r="317" customFormat="false" ht="18" hidden="false" customHeight="true" outlineLevel="0" collapsed="false">
      <c r="A317" s="44" t="str">
        <f aca="false">IF(B317="","",ROW()-4)</f>
        <v/>
      </c>
      <c r="B317" s="45"/>
      <c r="C317" s="46"/>
      <c r="D317" s="46"/>
      <c r="E317" s="46"/>
      <c r="F317" s="46"/>
      <c r="G317" s="47"/>
      <c r="H317" s="47"/>
      <c r="I317" s="45"/>
      <c r="J317" s="45"/>
    </row>
    <row r="318" customFormat="false" ht="18" hidden="false" customHeight="true" outlineLevel="0" collapsed="false">
      <c r="A318" s="44" t="str">
        <f aca="false">IF(B318="","",ROW()-4)</f>
        <v/>
      </c>
      <c r="B318" s="45"/>
      <c r="C318" s="46"/>
      <c r="D318" s="46"/>
      <c r="E318" s="46"/>
      <c r="F318" s="46"/>
      <c r="G318" s="47"/>
      <c r="H318" s="47"/>
      <c r="I318" s="45"/>
      <c r="J318" s="45"/>
    </row>
    <row r="319" customFormat="false" ht="18" hidden="false" customHeight="true" outlineLevel="0" collapsed="false">
      <c r="A319" s="44" t="str">
        <f aca="false">IF(B319="","",ROW()-4)</f>
        <v/>
      </c>
      <c r="B319" s="45"/>
      <c r="C319" s="46"/>
      <c r="D319" s="46"/>
      <c r="E319" s="46"/>
      <c r="F319" s="46"/>
      <c r="G319" s="47"/>
      <c r="H319" s="47"/>
      <c r="I319" s="45"/>
      <c r="J319" s="45"/>
    </row>
    <row r="320" customFormat="false" ht="18" hidden="false" customHeight="true" outlineLevel="0" collapsed="false">
      <c r="A320" s="44" t="str">
        <f aca="false">IF(B320="","",ROW()-4)</f>
        <v/>
      </c>
      <c r="B320" s="45"/>
      <c r="C320" s="46"/>
      <c r="D320" s="46"/>
      <c r="E320" s="46"/>
      <c r="F320" s="46"/>
      <c r="G320" s="47"/>
      <c r="H320" s="47"/>
      <c r="I320" s="45"/>
      <c r="J320" s="45"/>
    </row>
    <row r="321" customFormat="false" ht="18" hidden="false" customHeight="true" outlineLevel="0" collapsed="false">
      <c r="A321" s="44" t="str">
        <f aca="false">IF(B321="","",ROW()-4)</f>
        <v/>
      </c>
      <c r="B321" s="45"/>
      <c r="C321" s="46"/>
      <c r="D321" s="46"/>
      <c r="E321" s="46"/>
      <c r="F321" s="46"/>
      <c r="G321" s="47"/>
      <c r="H321" s="47"/>
      <c r="I321" s="45"/>
      <c r="J321" s="45"/>
    </row>
    <row r="322" customFormat="false" ht="18" hidden="false" customHeight="true" outlineLevel="0" collapsed="false">
      <c r="A322" s="44" t="str">
        <f aca="false">IF(B322="","",ROW()-4)</f>
        <v/>
      </c>
      <c r="B322" s="45"/>
      <c r="C322" s="46"/>
      <c r="D322" s="46"/>
      <c r="E322" s="46"/>
      <c r="F322" s="46"/>
      <c r="G322" s="47"/>
      <c r="H322" s="47"/>
      <c r="I322" s="45"/>
      <c r="J322" s="45"/>
    </row>
    <row r="323" customFormat="false" ht="18" hidden="false" customHeight="true" outlineLevel="0" collapsed="false">
      <c r="A323" s="44" t="str">
        <f aca="false">IF(B323="","",ROW()-4)</f>
        <v/>
      </c>
      <c r="B323" s="45"/>
      <c r="C323" s="46"/>
      <c r="D323" s="46"/>
      <c r="E323" s="46"/>
      <c r="F323" s="46"/>
      <c r="G323" s="47"/>
      <c r="H323" s="47"/>
      <c r="I323" s="45"/>
      <c r="J323" s="45"/>
    </row>
    <row r="324" customFormat="false" ht="18" hidden="false" customHeight="true" outlineLevel="0" collapsed="false">
      <c r="A324" s="44" t="str">
        <f aca="false">IF(B324="","",ROW()-4)</f>
        <v/>
      </c>
      <c r="B324" s="45"/>
      <c r="C324" s="46"/>
      <c r="D324" s="46"/>
      <c r="E324" s="46"/>
      <c r="F324" s="46"/>
      <c r="G324" s="47"/>
      <c r="H324" s="47"/>
      <c r="I324" s="45"/>
      <c r="J324" s="45"/>
    </row>
    <row r="325" customFormat="false" ht="18" hidden="false" customHeight="true" outlineLevel="0" collapsed="false">
      <c r="A325" s="44" t="str">
        <f aca="false">IF(B325="","",ROW()-4)</f>
        <v/>
      </c>
      <c r="B325" s="45"/>
      <c r="C325" s="46"/>
      <c r="D325" s="46"/>
      <c r="E325" s="46"/>
      <c r="F325" s="46"/>
      <c r="G325" s="47"/>
      <c r="H325" s="47"/>
      <c r="I325" s="45"/>
      <c r="J325" s="45"/>
    </row>
    <row r="326" customFormat="false" ht="18" hidden="false" customHeight="true" outlineLevel="0" collapsed="false">
      <c r="A326" s="44" t="str">
        <f aca="false">IF(B326="","",ROW()-4)</f>
        <v/>
      </c>
      <c r="B326" s="45"/>
      <c r="C326" s="46"/>
      <c r="D326" s="46"/>
      <c r="E326" s="46"/>
      <c r="F326" s="46"/>
      <c r="G326" s="47"/>
      <c r="H326" s="47"/>
      <c r="I326" s="45"/>
      <c r="J326" s="45"/>
    </row>
    <row r="327" customFormat="false" ht="18" hidden="false" customHeight="true" outlineLevel="0" collapsed="false">
      <c r="A327" s="44" t="str">
        <f aca="false">IF(B327="","",ROW()-4)</f>
        <v/>
      </c>
      <c r="B327" s="45"/>
      <c r="C327" s="46"/>
      <c r="D327" s="46"/>
      <c r="E327" s="46"/>
      <c r="F327" s="46"/>
      <c r="G327" s="47"/>
      <c r="H327" s="47"/>
      <c r="I327" s="45"/>
      <c r="J327" s="45"/>
    </row>
    <row r="328" customFormat="false" ht="18" hidden="false" customHeight="true" outlineLevel="0" collapsed="false">
      <c r="A328" s="44" t="str">
        <f aca="false">IF(B328="","",ROW()-4)</f>
        <v/>
      </c>
      <c r="B328" s="45"/>
      <c r="C328" s="46"/>
      <c r="D328" s="46"/>
      <c r="E328" s="46"/>
      <c r="F328" s="46"/>
      <c r="G328" s="47"/>
      <c r="H328" s="47"/>
      <c r="I328" s="45"/>
      <c r="J328" s="45"/>
    </row>
    <row r="329" customFormat="false" ht="18" hidden="false" customHeight="true" outlineLevel="0" collapsed="false">
      <c r="A329" s="44" t="str">
        <f aca="false">IF(B329="","",ROW()-4)</f>
        <v/>
      </c>
      <c r="B329" s="45"/>
      <c r="C329" s="46"/>
      <c r="D329" s="46"/>
      <c r="E329" s="46"/>
      <c r="F329" s="46"/>
      <c r="G329" s="47"/>
      <c r="H329" s="47"/>
      <c r="I329" s="45"/>
      <c r="J329" s="45"/>
    </row>
    <row r="330" customFormat="false" ht="18" hidden="false" customHeight="true" outlineLevel="0" collapsed="false">
      <c r="A330" s="44" t="str">
        <f aca="false">IF(B330="","",ROW()-4)</f>
        <v/>
      </c>
      <c r="B330" s="45"/>
      <c r="C330" s="46"/>
      <c r="D330" s="46"/>
      <c r="E330" s="46"/>
      <c r="F330" s="46"/>
      <c r="G330" s="47"/>
      <c r="H330" s="47"/>
      <c r="I330" s="45"/>
      <c r="J330" s="45"/>
    </row>
    <row r="331" customFormat="false" ht="18" hidden="false" customHeight="true" outlineLevel="0" collapsed="false">
      <c r="A331" s="44" t="str">
        <f aca="false">IF(B331="","",ROW()-4)</f>
        <v/>
      </c>
      <c r="B331" s="45"/>
      <c r="C331" s="46"/>
      <c r="D331" s="46"/>
      <c r="E331" s="46"/>
      <c r="F331" s="46"/>
      <c r="G331" s="47"/>
      <c r="H331" s="47"/>
      <c r="I331" s="45"/>
      <c r="J331" s="45"/>
    </row>
    <row r="332" customFormat="false" ht="18" hidden="false" customHeight="true" outlineLevel="0" collapsed="false">
      <c r="A332" s="44" t="str">
        <f aca="false">IF(B332="","",ROW()-4)</f>
        <v/>
      </c>
      <c r="B332" s="45"/>
      <c r="C332" s="46"/>
      <c r="D332" s="46"/>
      <c r="E332" s="46"/>
      <c r="F332" s="46"/>
      <c r="G332" s="47"/>
      <c r="H332" s="47"/>
      <c r="I332" s="45"/>
      <c r="J332" s="45"/>
    </row>
    <row r="333" customFormat="false" ht="18" hidden="false" customHeight="true" outlineLevel="0" collapsed="false">
      <c r="A333" s="44" t="str">
        <f aca="false">IF(B333="","",ROW()-4)</f>
        <v/>
      </c>
      <c r="B333" s="45"/>
      <c r="C333" s="46"/>
      <c r="D333" s="46"/>
      <c r="E333" s="46"/>
      <c r="F333" s="46"/>
      <c r="G333" s="47"/>
      <c r="H333" s="47"/>
      <c r="I333" s="45"/>
      <c r="J333" s="45"/>
    </row>
    <row r="334" customFormat="false" ht="18" hidden="false" customHeight="true" outlineLevel="0" collapsed="false">
      <c r="A334" s="44" t="str">
        <f aca="false">IF(B334="","",ROW()-4)</f>
        <v/>
      </c>
      <c r="B334" s="45"/>
      <c r="C334" s="46"/>
      <c r="D334" s="46"/>
      <c r="E334" s="46"/>
      <c r="F334" s="46"/>
      <c r="G334" s="47"/>
      <c r="H334" s="47"/>
      <c r="I334" s="45"/>
      <c r="J334" s="45"/>
    </row>
    <row r="335" customFormat="false" ht="18" hidden="false" customHeight="true" outlineLevel="0" collapsed="false">
      <c r="A335" s="44" t="str">
        <f aca="false">IF(B335="","",ROW()-4)</f>
        <v/>
      </c>
      <c r="B335" s="45"/>
      <c r="C335" s="46"/>
      <c r="D335" s="46"/>
      <c r="E335" s="46"/>
      <c r="F335" s="46"/>
      <c r="G335" s="47"/>
      <c r="H335" s="47"/>
      <c r="I335" s="45"/>
      <c r="J335" s="45"/>
    </row>
    <row r="336" customFormat="false" ht="18" hidden="false" customHeight="true" outlineLevel="0" collapsed="false">
      <c r="A336" s="44" t="str">
        <f aca="false">IF(B336="","",ROW()-4)</f>
        <v/>
      </c>
      <c r="B336" s="45"/>
      <c r="C336" s="46"/>
      <c r="D336" s="46"/>
      <c r="E336" s="46"/>
      <c r="F336" s="46"/>
      <c r="G336" s="47"/>
      <c r="H336" s="47"/>
      <c r="I336" s="45"/>
      <c r="J336" s="45"/>
    </row>
    <row r="337" customFormat="false" ht="18" hidden="false" customHeight="true" outlineLevel="0" collapsed="false">
      <c r="A337" s="44" t="str">
        <f aca="false">IF(B337="","",ROW()-4)</f>
        <v/>
      </c>
      <c r="B337" s="45"/>
      <c r="C337" s="46"/>
      <c r="D337" s="46"/>
      <c r="E337" s="46"/>
      <c r="F337" s="46"/>
      <c r="G337" s="47"/>
      <c r="H337" s="47"/>
      <c r="I337" s="45"/>
      <c r="J337" s="45"/>
    </row>
    <row r="338" customFormat="false" ht="18" hidden="false" customHeight="true" outlineLevel="0" collapsed="false">
      <c r="A338" s="44" t="str">
        <f aca="false">IF(B338="","",ROW()-4)</f>
        <v/>
      </c>
      <c r="B338" s="45"/>
      <c r="C338" s="46"/>
      <c r="D338" s="46"/>
      <c r="E338" s="46"/>
      <c r="F338" s="46"/>
      <c r="G338" s="47"/>
      <c r="H338" s="47"/>
      <c r="I338" s="45"/>
      <c r="J338" s="45"/>
    </row>
    <row r="339" customFormat="false" ht="18" hidden="false" customHeight="true" outlineLevel="0" collapsed="false">
      <c r="A339" s="44" t="str">
        <f aca="false">IF(B339="","",ROW()-4)</f>
        <v/>
      </c>
      <c r="B339" s="45"/>
      <c r="C339" s="46"/>
      <c r="D339" s="46"/>
      <c r="E339" s="46"/>
      <c r="F339" s="46"/>
      <c r="G339" s="47"/>
      <c r="H339" s="47"/>
      <c r="I339" s="45"/>
      <c r="J339" s="45"/>
    </row>
    <row r="340" customFormat="false" ht="18" hidden="false" customHeight="true" outlineLevel="0" collapsed="false">
      <c r="A340" s="44" t="str">
        <f aca="false">IF(B340="","",ROW()-4)</f>
        <v/>
      </c>
      <c r="B340" s="45"/>
      <c r="C340" s="46"/>
      <c r="D340" s="46"/>
      <c r="E340" s="46"/>
      <c r="F340" s="46"/>
      <c r="G340" s="47"/>
      <c r="H340" s="47"/>
      <c r="I340" s="45"/>
      <c r="J340" s="45"/>
    </row>
    <row r="341" customFormat="false" ht="18" hidden="false" customHeight="true" outlineLevel="0" collapsed="false">
      <c r="A341" s="44" t="str">
        <f aca="false">IF(B341="","",ROW()-4)</f>
        <v/>
      </c>
      <c r="B341" s="45"/>
      <c r="C341" s="46"/>
      <c r="D341" s="46"/>
      <c r="E341" s="46"/>
      <c r="F341" s="46"/>
      <c r="G341" s="47"/>
      <c r="H341" s="47"/>
      <c r="I341" s="45"/>
      <c r="J341" s="45"/>
    </row>
    <row r="342" customFormat="false" ht="18" hidden="false" customHeight="true" outlineLevel="0" collapsed="false">
      <c r="A342" s="44" t="str">
        <f aca="false">IF(B342="","",ROW()-4)</f>
        <v/>
      </c>
      <c r="B342" s="45"/>
      <c r="C342" s="46"/>
      <c r="D342" s="46"/>
      <c r="E342" s="46"/>
      <c r="F342" s="46"/>
      <c r="G342" s="47"/>
      <c r="H342" s="47"/>
      <c r="I342" s="45"/>
      <c r="J342" s="45"/>
    </row>
    <row r="343" customFormat="false" ht="18" hidden="false" customHeight="true" outlineLevel="0" collapsed="false">
      <c r="A343" s="44" t="str">
        <f aca="false">IF(B343="","",ROW()-4)</f>
        <v/>
      </c>
      <c r="B343" s="45"/>
      <c r="C343" s="46"/>
      <c r="D343" s="46"/>
      <c r="E343" s="46"/>
      <c r="F343" s="46"/>
      <c r="G343" s="47"/>
      <c r="H343" s="47"/>
      <c r="I343" s="45"/>
      <c r="J343" s="45"/>
    </row>
    <row r="344" customFormat="false" ht="18" hidden="false" customHeight="true" outlineLevel="0" collapsed="false">
      <c r="A344" s="44" t="str">
        <f aca="false">IF(B344="","",ROW()-4)</f>
        <v/>
      </c>
      <c r="B344" s="45"/>
      <c r="C344" s="46"/>
      <c r="D344" s="46"/>
      <c r="E344" s="46"/>
      <c r="F344" s="46"/>
      <c r="G344" s="47"/>
      <c r="H344" s="47"/>
      <c r="I344" s="45"/>
      <c r="J344" s="45"/>
    </row>
    <row r="345" customFormat="false" ht="18" hidden="false" customHeight="true" outlineLevel="0" collapsed="false">
      <c r="A345" s="44" t="str">
        <f aca="false">IF(B345="","",ROW()-4)</f>
        <v/>
      </c>
      <c r="B345" s="45"/>
      <c r="C345" s="46"/>
      <c r="D345" s="46"/>
      <c r="E345" s="46"/>
      <c r="F345" s="46"/>
      <c r="G345" s="47"/>
      <c r="H345" s="47"/>
      <c r="I345" s="45"/>
      <c r="J345" s="45"/>
    </row>
    <row r="346" customFormat="false" ht="18" hidden="false" customHeight="true" outlineLevel="0" collapsed="false">
      <c r="A346" s="44" t="str">
        <f aca="false">IF(B346="","",ROW()-4)</f>
        <v/>
      </c>
      <c r="B346" s="45"/>
      <c r="C346" s="46"/>
      <c r="D346" s="46"/>
      <c r="E346" s="46"/>
      <c r="F346" s="46"/>
      <c r="G346" s="47"/>
      <c r="H346" s="47"/>
      <c r="I346" s="45"/>
      <c r="J346" s="45"/>
    </row>
    <row r="347" customFormat="false" ht="18" hidden="false" customHeight="true" outlineLevel="0" collapsed="false">
      <c r="A347" s="44" t="str">
        <f aca="false">IF(B347="","",ROW()-4)</f>
        <v/>
      </c>
      <c r="B347" s="45"/>
      <c r="C347" s="46"/>
      <c r="D347" s="46"/>
      <c r="E347" s="46"/>
      <c r="F347" s="46"/>
      <c r="G347" s="47"/>
      <c r="H347" s="47"/>
      <c r="I347" s="45"/>
      <c r="J347" s="45"/>
    </row>
    <row r="348" customFormat="false" ht="18" hidden="false" customHeight="true" outlineLevel="0" collapsed="false">
      <c r="A348" s="44" t="str">
        <f aca="false">IF(B348="","",ROW()-4)</f>
        <v/>
      </c>
      <c r="B348" s="45"/>
      <c r="C348" s="46"/>
      <c r="D348" s="46"/>
      <c r="E348" s="46"/>
      <c r="F348" s="46"/>
      <c r="G348" s="47"/>
      <c r="H348" s="47"/>
      <c r="I348" s="45"/>
      <c r="J348" s="45"/>
    </row>
    <row r="349" customFormat="false" ht="18" hidden="false" customHeight="true" outlineLevel="0" collapsed="false">
      <c r="A349" s="44" t="str">
        <f aca="false">IF(B349="","",ROW()-4)</f>
        <v/>
      </c>
      <c r="B349" s="45"/>
      <c r="C349" s="46"/>
      <c r="D349" s="46"/>
      <c r="E349" s="46"/>
      <c r="F349" s="46"/>
      <c r="G349" s="47"/>
      <c r="H349" s="47"/>
      <c r="I349" s="45"/>
      <c r="J349" s="45"/>
    </row>
    <row r="350" customFormat="false" ht="18" hidden="false" customHeight="true" outlineLevel="0" collapsed="false">
      <c r="A350" s="44" t="str">
        <f aca="false">IF(B350="","",ROW()-4)</f>
        <v/>
      </c>
      <c r="B350" s="45"/>
      <c r="C350" s="46"/>
      <c r="D350" s="46"/>
      <c r="E350" s="46"/>
      <c r="F350" s="46"/>
      <c r="G350" s="47"/>
      <c r="H350" s="47"/>
      <c r="I350" s="45"/>
      <c r="J350" s="45"/>
    </row>
    <row r="351" customFormat="false" ht="18" hidden="false" customHeight="true" outlineLevel="0" collapsed="false">
      <c r="A351" s="44" t="str">
        <f aca="false">IF(B351="","",ROW()-4)</f>
        <v/>
      </c>
      <c r="B351" s="45"/>
      <c r="C351" s="46"/>
      <c r="D351" s="46"/>
      <c r="E351" s="46"/>
      <c r="F351" s="46"/>
      <c r="G351" s="47"/>
      <c r="H351" s="47"/>
      <c r="I351" s="45"/>
      <c r="J351" s="45"/>
    </row>
    <row r="352" customFormat="false" ht="18" hidden="false" customHeight="true" outlineLevel="0" collapsed="false">
      <c r="A352" s="44" t="str">
        <f aca="false">IF(B352="","",ROW()-4)</f>
        <v/>
      </c>
      <c r="B352" s="45"/>
      <c r="C352" s="46"/>
      <c r="D352" s="46"/>
      <c r="E352" s="46"/>
      <c r="F352" s="46"/>
      <c r="G352" s="47"/>
      <c r="H352" s="47"/>
      <c r="I352" s="45"/>
      <c r="J352" s="45"/>
    </row>
    <row r="353" customFormat="false" ht="18" hidden="false" customHeight="true" outlineLevel="0" collapsed="false">
      <c r="A353" s="44" t="str">
        <f aca="false">IF(B353="","",ROW()-4)</f>
        <v/>
      </c>
      <c r="B353" s="45"/>
      <c r="C353" s="46"/>
      <c r="D353" s="46"/>
      <c r="E353" s="46"/>
      <c r="F353" s="46"/>
      <c r="G353" s="47"/>
      <c r="H353" s="47"/>
      <c r="I353" s="45"/>
      <c r="J353" s="45"/>
    </row>
    <row r="354" customFormat="false" ht="18" hidden="false" customHeight="true" outlineLevel="0" collapsed="false">
      <c r="A354" s="44" t="str">
        <f aca="false">IF(B354="","",ROW()-4)</f>
        <v/>
      </c>
      <c r="B354" s="45"/>
      <c r="C354" s="46"/>
      <c r="D354" s="46"/>
      <c r="E354" s="46"/>
      <c r="F354" s="46"/>
      <c r="G354" s="47"/>
      <c r="H354" s="47"/>
      <c r="I354" s="45"/>
      <c r="J354" s="45"/>
    </row>
    <row r="355" customFormat="false" ht="18" hidden="false" customHeight="true" outlineLevel="0" collapsed="false">
      <c r="A355" s="44" t="str">
        <f aca="false">IF(B355="","",ROW()-4)</f>
        <v/>
      </c>
      <c r="B355" s="45"/>
      <c r="C355" s="46"/>
      <c r="D355" s="46"/>
      <c r="E355" s="46"/>
      <c r="F355" s="46"/>
      <c r="G355" s="47"/>
      <c r="H355" s="47"/>
      <c r="I355" s="45"/>
      <c r="J355" s="45"/>
    </row>
    <row r="356" customFormat="false" ht="18" hidden="false" customHeight="true" outlineLevel="0" collapsed="false">
      <c r="A356" s="44" t="str">
        <f aca="false">IF(B356="","",ROW()-4)</f>
        <v/>
      </c>
      <c r="B356" s="45"/>
      <c r="C356" s="46"/>
      <c r="D356" s="46"/>
      <c r="E356" s="46"/>
      <c r="F356" s="46"/>
      <c r="G356" s="47"/>
      <c r="H356" s="47"/>
      <c r="I356" s="45"/>
      <c r="J356" s="45"/>
    </row>
    <row r="357" customFormat="false" ht="18" hidden="false" customHeight="true" outlineLevel="0" collapsed="false">
      <c r="A357" s="44" t="str">
        <f aca="false">IF(B357="","",ROW()-4)</f>
        <v/>
      </c>
      <c r="B357" s="45"/>
      <c r="C357" s="46"/>
      <c r="D357" s="46"/>
      <c r="E357" s="46"/>
      <c r="F357" s="46"/>
      <c r="G357" s="47"/>
      <c r="H357" s="47"/>
      <c r="I357" s="45"/>
      <c r="J357" s="45"/>
    </row>
    <row r="358" customFormat="false" ht="18" hidden="false" customHeight="true" outlineLevel="0" collapsed="false">
      <c r="A358" s="44" t="str">
        <f aca="false">IF(B358="","",ROW()-4)</f>
        <v/>
      </c>
      <c r="B358" s="45"/>
      <c r="C358" s="46"/>
      <c r="D358" s="46"/>
      <c r="E358" s="46"/>
      <c r="F358" s="46"/>
      <c r="G358" s="47"/>
      <c r="H358" s="47"/>
      <c r="I358" s="45"/>
      <c r="J358" s="45"/>
    </row>
    <row r="359" customFormat="false" ht="18" hidden="false" customHeight="true" outlineLevel="0" collapsed="false">
      <c r="A359" s="44" t="str">
        <f aca="false">IF(B359="","",ROW()-4)</f>
        <v/>
      </c>
      <c r="B359" s="45"/>
      <c r="C359" s="46"/>
      <c r="D359" s="46"/>
      <c r="E359" s="46"/>
      <c r="F359" s="46"/>
      <c r="G359" s="47"/>
      <c r="H359" s="47"/>
      <c r="I359" s="45"/>
      <c r="J359" s="45"/>
    </row>
    <row r="360" customFormat="false" ht="18" hidden="false" customHeight="true" outlineLevel="0" collapsed="false">
      <c r="A360" s="44" t="str">
        <f aca="false">IF(B360="","",ROW()-4)</f>
        <v/>
      </c>
      <c r="B360" s="45"/>
      <c r="C360" s="46"/>
      <c r="D360" s="46"/>
      <c r="E360" s="46"/>
      <c r="F360" s="46"/>
      <c r="G360" s="47"/>
      <c r="H360" s="47"/>
      <c r="I360" s="45"/>
      <c r="J360" s="45"/>
    </row>
    <row r="361" customFormat="false" ht="18" hidden="false" customHeight="true" outlineLevel="0" collapsed="false">
      <c r="A361" s="44" t="str">
        <f aca="false">IF(B361="","",ROW()-4)</f>
        <v/>
      </c>
      <c r="B361" s="45"/>
      <c r="C361" s="46"/>
      <c r="D361" s="46"/>
      <c r="E361" s="46"/>
      <c r="F361" s="46"/>
      <c r="G361" s="47"/>
      <c r="H361" s="47"/>
      <c r="I361" s="45"/>
      <c r="J361" s="45"/>
    </row>
    <row r="362" customFormat="false" ht="18" hidden="false" customHeight="true" outlineLevel="0" collapsed="false">
      <c r="A362" s="44" t="str">
        <f aca="false">IF(B362="","",ROW()-4)</f>
        <v/>
      </c>
      <c r="B362" s="45"/>
      <c r="C362" s="46"/>
      <c r="D362" s="46"/>
      <c r="E362" s="46"/>
      <c r="F362" s="46"/>
      <c r="G362" s="47"/>
      <c r="H362" s="47"/>
      <c r="I362" s="45"/>
      <c r="J362" s="45"/>
    </row>
    <row r="363" customFormat="false" ht="18" hidden="false" customHeight="true" outlineLevel="0" collapsed="false">
      <c r="A363" s="44" t="str">
        <f aca="false">IF(B363="","",ROW()-4)</f>
        <v/>
      </c>
      <c r="B363" s="45"/>
      <c r="C363" s="46"/>
      <c r="D363" s="46"/>
      <c r="E363" s="46"/>
      <c r="F363" s="46"/>
      <c r="G363" s="47"/>
      <c r="H363" s="47"/>
      <c r="I363" s="45"/>
      <c r="J363" s="45"/>
    </row>
    <row r="364" customFormat="false" ht="18" hidden="false" customHeight="true" outlineLevel="0" collapsed="false">
      <c r="A364" s="44" t="str">
        <f aca="false">IF(B364="","",ROW()-4)</f>
        <v/>
      </c>
      <c r="B364" s="45"/>
      <c r="C364" s="46"/>
      <c r="D364" s="46"/>
      <c r="E364" s="46"/>
      <c r="F364" s="46"/>
      <c r="G364" s="47"/>
      <c r="H364" s="47"/>
      <c r="I364" s="45"/>
      <c r="J364" s="45"/>
    </row>
    <row r="365" customFormat="false" ht="18" hidden="false" customHeight="true" outlineLevel="0" collapsed="false">
      <c r="A365" s="44" t="str">
        <f aca="false">IF(B365="","",ROW()-4)</f>
        <v/>
      </c>
      <c r="B365" s="45"/>
      <c r="C365" s="46"/>
      <c r="D365" s="46"/>
      <c r="E365" s="46"/>
      <c r="F365" s="46"/>
      <c r="G365" s="47"/>
      <c r="H365" s="47"/>
      <c r="I365" s="45"/>
      <c r="J365" s="45"/>
    </row>
    <row r="366" customFormat="false" ht="18" hidden="false" customHeight="true" outlineLevel="0" collapsed="false">
      <c r="A366" s="44" t="str">
        <f aca="false">IF(B366="","",ROW()-4)</f>
        <v/>
      </c>
      <c r="B366" s="45"/>
      <c r="C366" s="46"/>
      <c r="D366" s="46"/>
      <c r="E366" s="46"/>
      <c r="F366" s="46"/>
      <c r="G366" s="47"/>
      <c r="H366" s="47"/>
      <c r="I366" s="45"/>
      <c r="J366" s="45"/>
    </row>
    <row r="367" customFormat="false" ht="18" hidden="false" customHeight="true" outlineLevel="0" collapsed="false">
      <c r="A367" s="44" t="str">
        <f aca="false">IF(B367="","",ROW()-4)</f>
        <v/>
      </c>
      <c r="B367" s="45"/>
      <c r="C367" s="46"/>
      <c r="D367" s="46"/>
      <c r="E367" s="46"/>
      <c r="F367" s="46"/>
      <c r="G367" s="47"/>
      <c r="H367" s="47"/>
      <c r="I367" s="45"/>
      <c r="J367" s="45"/>
    </row>
    <row r="368" customFormat="false" ht="18" hidden="false" customHeight="true" outlineLevel="0" collapsed="false">
      <c r="A368" s="44" t="str">
        <f aca="false">IF(B368="","",ROW()-4)</f>
        <v/>
      </c>
      <c r="B368" s="45"/>
      <c r="C368" s="46"/>
      <c r="D368" s="46"/>
      <c r="E368" s="46"/>
      <c r="F368" s="46"/>
      <c r="G368" s="47"/>
      <c r="H368" s="47"/>
      <c r="I368" s="45"/>
      <c r="J368" s="45"/>
    </row>
    <row r="369" customFormat="false" ht="18" hidden="false" customHeight="true" outlineLevel="0" collapsed="false">
      <c r="A369" s="44" t="str">
        <f aca="false">IF(B369="","",ROW()-4)</f>
        <v/>
      </c>
      <c r="B369" s="45"/>
      <c r="C369" s="46"/>
      <c r="D369" s="46"/>
      <c r="E369" s="46"/>
      <c r="F369" s="46"/>
      <c r="G369" s="47"/>
      <c r="H369" s="47"/>
      <c r="I369" s="45"/>
      <c r="J369" s="45"/>
    </row>
    <row r="370" customFormat="false" ht="18" hidden="false" customHeight="true" outlineLevel="0" collapsed="false">
      <c r="A370" s="44" t="str">
        <f aca="false">IF(B370="","",ROW()-4)</f>
        <v/>
      </c>
      <c r="B370" s="45"/>
      <c r="C370" s="46"/>
      <c r="D370" s="46"/>
      <c r="E370" s="46"/>
      <c r="F370" s="46"/>
      <c r="G370" s="47"/>
      <c r="H370" s="47"/>
      <c r="I370" s="45"/>
      <c r="J370" s="45"/>
    </row>
    <row r="371" customFormat="false" ht="18" hidden="false" customHeight="true" outlineLevel="0" collapsed="false">
      <c r="A371" s="44" t="str">
        <f aca="false">IF(B371="","",ROW()-4)</f>
        <v/>
      </c>
      <c r="B371" s="45"/>
      <c r="C371" s="46"/>
      <c r="D371" s="46"/>
      <c r="E371" s="46"/>
      <c r="F371" s="46"/>
      <c r="G371" s="47"/>
      <c r="H371" s="47"/>
      <c r="I371" s="45"/>
      <c r="J371" s="45"/>
    </row>
    <row r="372" customFormat="false" ht="18" hidden="false" customHeight="true" outlineLevel="0" collapsed="false">
      <c r="A372" s="44" t="str">
        <f aca="false">IF(B372="","",ROW()-4)</f>
        <v/>
      </c>
      <c r="B372" s="45"/>
      <c r="C372" s="46"/>
      <c r="D372" s="46"/>
      <c r="E372" s="46"/>
      <c r="F372" s="46"/>
      <c r="G372" s="47"/>
      <c r="H372" s="47"/>
      <c r="I372" s="45"/>
      <c r="J372" s="45"/>
    </row>
    <row r="373" customFormat="false" ht="18" hidden="false" customHeight="true" outlineLevel="0" collapsed="false">
      <c r="A373" s="44" t="str">
        <f aca="false">IF(B373="","",ROW()-4)</f>
        <v/>
      </c>
      <c r="B373" s="45"/>
      <c r="C373" s="46"/>
      <c r="D373" s="46"/>
      <c r="E373" s="46"/>
      <c r="F373" s="46"/>
      <c r="G373" s="47"/>
      <c r="H373" s="47"/>
      <c r="I373" s="45"/>
      <c r="J373" s="45"/>
    </row>
    <row r="374" customFormat="false" ht="18" hidden="false" customHeight="true" outlineLevel="0" collapsed="false">
      <c r="A374" s="44" t="str">
        <f aca="false">IF(B374="","",ROW()-4)</f>
        <v/>
      </c>
      <c r="B374" s="45"/>
      <c r="C374" s="46"/>
      <c r="D374" s="46"/>
      <c r="E374" s="46"/>
      <c r="F374" s="46"/>
      <c r="G374" s="47"/>
      <c r="H374" s="47"/>
      <c r="I374" s="45"/>
      <c r="J374" s="45"/>
    </row>
    <row r="375" customFormat="false" ht="18" hidden="false" customHeight="true" outlineLevel="0" collapsed="false">
      <c r="A375" s="44" t="str">
        <f aca="false">IF(B375="","",ROW()-4)</f>
        <v/>
      </c>
      <c r="B375" s="45"/>
      <c r="C375" s="46"/>
      <c r="D375" s="46"/>
      <c r="E375" s="46"/>
      <c r="F375" s="46"/>
      <c r="G375" s="47"/>
      <c r="H375" s="47"/>
      <c r="I375" s="45"/>
      <c r="J375" s="45"/>
    </row>
    <row r="376" customFormat="false" ht="18" hidden="false" customHeight="true" outlineLevel="0" collapsed="false">
      <c r="A376" s="44" t="str">
        <f aca="false">IF(B376="","",ROW()-4)</f>
        <v/>
      </c>
      <c r="B376" s="45"/>
      <c r="C376" s="46"/>
      <c r="D376" s="46"/>
      <c r="E376" s="46"/>
      <c r="F376" s="46"/>
      <c r="G376" s="47"/>
      <c r="H376" s="47"/>
      <c r="I376" s="45"/>
      <c r="J376" s="45"/>
    </row>
    <row r="377" customFormat="false" ht="18" hidden="false" customHeight="true" outlineLevel="0" collapsed="false">
      <c r="A377" s="44" t="str">
        <f aca="false">IF(B377="","",ROW()-4)</f>
        <v/>
      </c>
      <c r="B377" s="45"/>
      <c r="C377" s="46"/>
      <c r="D377" s="46"/>
      <c r="E377" s="46"/>
      <c r="F377" s="46"/>
      <c r="G377" s="47"/>
      <c r="H377" s="47"/>
      <c r="I377" s="45"/>
      <c r="J377" s="45"/>
    </row>
    <row r="378" customFormat="false" ht="18" hidden="false" customHeight="true" outlineLevel="0" collapsed="false">
      <c r="A378" s="44" t="str">
        <f aca="false">IF(B378="","",ROW()-4)</f>
        <v/>
      </c>
      <c r="B378" s="45"/>
      <c r="C378" s="46"/>
      <c r="D378" s="46"/>
      <c r="E378" s="46"/>
      <c r="F378" s="46"/>
      <c r="G378" s="47"/>
      <c r="H378" s="47"/>
      <c r="I378" s="45"/>
      <c r="J378" s="45"/>
    </row>
    <row r="379" customFormat="false" ht="18" hidden="false" customHeight="true" outlineLevel="0" collapsed="false">
      <c r="A379" s="44" t="str">
        <f aca="false">IF(B379="","",ROW()-4)</f>
        <v/>
      </c>
      <c r="B379" s="45"/>
      <c r="C379" s="46"/>
      <c r="D379" s="46"/>
      <c r="E379" s="46"/>
      <c r="F379" s="46"/>
      <c r="G379" s="47"/>
      <c r="H379" s="47"/>
      <c r="I379" s="45"/>
      <c r="J379" s="45"/>
    </row>
    <row r="380" customFormat="false" ht="18" hidden="false" customHeight="true" outlineLevel="0" collapsed="false">
      <c r="A380" s="44" t="str">
        <f aca="false">IF(B380="","",ROW()-4)</f>
        <v/>
      </c>
      <c r="B380" s="45"/>
      <c r="C380" s="46"/>
      <c r="D380" s="46"/>
      <c r="E380" s="46"/>
      <c r="F380" s="46"/>
      <c r="G380" s="47"/>
      <c r="H380" s="47"/>
      <c r="I380" s="45"/>
      <c r="J380" s="45"/>
    </row>
    <row r="381" customFormat="false" ht="18" hidden="false" customHeight="true" outlineLevel="0" collapsed="false">
      <c r="A381" s="44" t="str">
        <f aca="false">IF(B381="","",ROW()-4)</f>
        <v/>
      </c>
      <c r="B381" s="45"/>
      <c r="C381" s="46"/>
      <c r="D381" s="46"/>
      <c r="E381" s="46"/>
      <c r="F381" s="46"/>
      <c r="G381" s="47"/>
      <c r="H381" s="47"/>
      <c r="I381" s="45"/>
      <c r="J381" s="45"/>
    </row>
    <row r="382" customFormat="false" ht="18" hidden="false" customHeight="true" outlineLevel="0" collapsed="false">
      <c r="A382" s="44" t="str">
        <f aca="false">IF(B382="","",ROW()-4)</f>
        <v/>
      </c>
      <c r="B382" s="45"/>
      <c r="C382" s="46"/>
      <c r="D382" s="46"/>
      <c r="E382" s="46"/>
      <c r="F382" s="46"/>
      <c r="G382" s="47"/>
      <c r="H382" s="47"/>
      <c r="I382" s="45"/>
      <c r="J382" s="45"/>
    </row>
    <row r="383" customFormat="false" ht="18" hidden="false" customHeight="true" outlineLevel="0" collapsed="false">
      <c r="A383" s="44" t="str">
        <f aca="false">IF(B383="","",ROW()-4)</f>
        <v/>
      </c>
      <c r="B383" s="45"/>
      <c r="C383" s="46"/>
      <c r="D383" s="46"/>
      <c r="E383" s="46"/>
      <c r="F383" s="46"/>
      <c r="G383" s="47"/>
      <c r="H383" s="47"/>
      <c r="I383" s="45"/>
      <c r="J383" s="45"/>
    </row>
    <row r="384" customFormat="false" ht="18" hidden="false" customHeight="true" outlineLevel="0" collapsed="false">
      <c r="A384" s="44" t="str">
        <f aca="false">IF(B384="","",ROW()-4)</f>
        <v/>
      </c>
      <c r="B384" s="45"/>
      <c r="C384" s="46"/>
      <c r="D384" s="46"/>
      <c r="E384" s="46"/>
      <c r="F384" s="46"/>
      <c r="G384" s="47"/>
      <c r="H384" s="47"/>
      <c r="I384" s="45"/>
      <c r="J384" s="45"/>
    </row>
    <row r="385" customFormat="false" ht="18" hidden="false" customHeight="true" outlineLevel="0" collapsed="false">
      <c r="A385" s="44" t="str">
        <f aca="false">IF(B385="","",ROW()-4)</f>
        <v/>
      </c>
      <c r="B385" s="45"/>
      <c r="C385" s="46"/>
      <c r="D385" s="46"/>
      <c r="E385" s="46"/>
      <c r="F385" s="46"/>
      <c r="G385" s="47"/>
      <c r="H385" s="47"/>
      <c r="I385" s="45"/>
      <c r="J385" s="45"/>
    </row>
    <row r="386" customFormat="false" ht="18" hidden="false" customHeight="true" outlineLevel="0" collapsed="false">
      <c r="A386" s="44" t="str">
        <f aca="false">IF(B386="","",ROW()-4)</f>
        <v/>
      </c>
      <c r="B386" s="45"/>
      <c r="C386" s="46"/>
      <c r="D386" s="46"/>
      <c r="E386" s="46"/>
      <c r="F386" s="46"/>
      <c r="G386" s="47"/>
      <c r="H386" s="47"/>
      <c r="I386" s="45"/>
      <c r="J386" s="45"/>
    </row>
    <row r="387" customFormat="false" ht="18" hidden="false" customHeight="true" outlineLevel="0" collapsed="false">
      <c r="A387" s="44" t="str">
        <f aca="false">IF(B387="","",ROW()-4)</f>
        <v/>
      </c>
      <c r="B387" s="45"/>
      <c r="C387" s="46"/>
      <c r="D387" s="46"/>
      <c r="E387" s="46"/>
      <c r="F387" s="46"/>
      <c r="G387" s="47"/>
      <c r="H387" s="47"/>
      <c r="I387" s="45"/>
      <c r="J387" s="45"/>
    </row>
    <row r="388" customFormat="false" ht="18" hidden="false" customHeight="true" outlineLevel="0" collapsed="false">
      <c r="A388" s="44" t="str">
        <f aca="false">IF(B388="","",ROW()-4)</f>
        <v/>
      </c>
      <c r="B388" s="45"/>
      <c r="C388" s="46"/>
      <c r="D388" s="46"/>
      <c r="E388" s="46"/>
      <c r="F388" s="46"/>
      <c r="G388" s="47"/>
      <c r="H388" s="47"/>
      <c r="I388" s="45"/>
      <c r="J388" s="45"/>
    </row>
    <row r="389" customFormat="false" ht="18" hidden="false" customHeight="true" outlineLevel="0" collapsed="false">
      <c r="A389" s="44" t="str">
        <f aca="false">IF(B389="","",ROW()-4)</f>
        <v/>
      </c>
      <c r="B389" s="45"/>
      <c r="C389" s="46"/>
      <c r="D389" s="46"/>
      <c r="E389" s="46"/>
      <c r="F389" s="46"/>
      <c r="G389" s="47"/>
      <c r="H389" s="47"/>
      <c r="I389" s="45"/>
      <c r="J389" s="45"/>
    </row>
    <row r="390" customFormat="false" ht="18" hidden="false" customHeight="true" outlineLevel="0" collapsed="false">
      <c r="A390" s="44" t="str">
        <f aca="false">IF(B390="","",ROW()-4)</f>
        <v/>
      </c>
      <c r="B390" s="45"/>
      <c r="C390" s="46"/>
      <c r="D390" s="46"/>
      <c r="E390" s="46"/>
      <c r="F390" s="46"/>
      <c r="G390" s="47"/>
      <c r="H390" s="47"/>
      <c r="I390" s="45"/>
      <c r="J390" s="45"/>
    </row>
    <row r="391" customFormat="false" ht="18" hidden="false" customHeight="true" outlineLevel="0" collapsed="false">
      <c r="A391" s="44" t="str">
        <f aca="false">IF(B391="","",ROW()-4)</f>
        <v/>
      </c>
      <c r="B391" s="45"/>
      <c r="C391" s="46"/>
      <c r="D391" s="46"/>
      <c r="E391" s="46"/>
      <c r="F391" s="46"/>
      <c r="G391" s="47"/>
      <c r="H391" s="47"/>
      <c r="I391" s="45"/>
      <c r="J391" s="45"/>
    </row>
    <row r="392" customFormat="false" ht="18" hidden="false" customHeight="true" outlineLevel="0" collapsed="false">
      <c r="A392" s="44" t="str">
        <f aca="false">IF(B392="","",ROW()-4)</f>
        <v/>
      </c>
      <c r="B392" s="45"/>
      <c r="C392" s="46"/>
      <c r="D392" s="46"/>
      <c r="E392" s="46"/>
      <c r="F392" s="46"/>
      <c r="G392" s="47"/>
      <c r="H392" s="47"/>
      <c r="I392" s="45"/>
      <c r="J392" s="45"/>
    </row>
    <row r="393" customFormat="false" ht="18" hidden="false" customHeight="true" outlineLevel="0" collapsed="false">
      <c r="A393" s="44" t="str">
        <f aca="false">IF(B393="","",ROW()-4)</f>
        <v/>
      </c>
      <c r="B393" s="45"/>
      <c r="C393" s="46"/>
      <c r="D393" s="46"/>
      <c r="E393" s="46"/>
      <c r="F393" s="46"/>
      <c r="G393" s="47"/>
      <c r="H393" s="47"/>
      <c r="I393" s="45"/>
      <c r="J393" s="45"/>
    </row>
    <row r="394" customFormat="false" ht="18" hidden="false" customHeight="true" outlineLevel="0" collapsed="false">
      <c r="A394" s="44" t="str">
        <f aca="false">IF(B394="","",ROW()-4)</f>
        <v/>
      </c>
      <c r="B394" s="45"/>
      <c r="C394" s="46"/>
      <c r="D394" s="46"/>
      <c r="E394" s="46"/>
      <c r="F394" s="46"/>
      <c r="G394" s="47"/>
      <c r="H394" s="47"/>
      <c r="I394" s="45"/>
      <c r="J394" s="45"/>
    </row>
    <row r="395" customFormat="false" ht="18" hidden="false" customHeight="true" outlineLevel="0" collapsed="false">
      <c r="A395" s="44" t="str">
        <f aca="false">IF(B395="","",ROW()-4)</f>
        <v/>
      </c>
      <c r="B395" s="45"/>
      <c r="C395" s="46"/>
      <c r="D395" s="46"/>
      <c r="E395" s="46"/>
      <c r="F395" s="46"/>
      <c r="G395" s="47"/>
      <c r="H395" s="47"/>
      <c r="I395" s="45"/>
      <c r="J395" s="45"/>
    </row>
    <row r="396" customFormat="false" ht="18" hidden="false" customHeight="true" outlineLevel="0" collapsed="false">
      <c r="A396" s="44" t="str">
        <f aca="false">IF(B396="","",ROW()-4)</f>
        <v/>
      </c>
      <c r="B396" s="45"/>
      <c r="C396" s="46"/>
      <c r="D396" s="46"/>
      <c r="E396" s="46"/>
      <c r="F396" s="46"/>
      <c r="G396" s="47"/>
      <c r="H396" s="47"/>
      <c r="I396" s="45"/>
      <c r="J396" s="45"/>
    </row>
    <row r="397" customFormat="false" ht="18" hidden="false" customHeight="true" outlineLevel="0" collapsed="false">
      <c r="A397" s="44" t="str">
        <f aca="false">IF(B397="","",ROW()-4)</f>
        <v/>
      </c>
      <c r="B397" s="45"/>
      <c r="C397" s="46"/>
      <c r="D397" s="46"/>
      <c r="E397" s="46"/>
      <c r="F397" s="46"/>
      <c r="G397" s="47"/>
      <c r="H397" s="47"/>
      <c r="I397" s="45"/>
      <c r="J397" s="45"/>
    </row>
    <row r="398" customFormat="false" ht="18" hidden="false" customHeight="true" outlineLevel="0" collapsed="false">
      <c r="A398" s="44" t="str">
        <f aca="false">IF(B398="","",ROW()-4)</f>
        <v/>
      </c>
      <c r="B398" s="45"/>
      <c r="C398" s="46"/>
      <c r="D398" s="46"/>
      <c r="E398" s="46"/>
      <c r="F398" s="46"/>
      <c r="G398" s="47"/>
      <c r="H398" s="47"/>
      <c r="I398" s="45"/>
      <c r="J398" s="45"/>
    </row>
    <row r="399" customFormat="false" ht="18" hidden="false" customHeight="true" outlineLevel="0" collapsed="false">
      <c r="A399" s="44" t="str">
        <f aca="false">IF(B399="","",ROW()-4)</f>
        <v/>
      </c>
      <c r="B399" s="45"/>
      <c r="C399" s="46"/>
      <c r="D399" s="46"/>
      <c r="E399" s="46"/>
      <c r="F399" s="46"/>
      <c r="G399" s="47"/>
      <c r="H399" s="47"/>
      <c r="I399" s="45"/>
      <c r="J399" s="45"/>
    </row>
    <row r="400" customFormat="false" ht="18" hidden="false" customHeight="true" outlineLevel="0" collapsed="false">
      <c r="A400" s="44" t="str">
        <f aca="false">IF(B400="","",ROW()-4)</f>
        <v/>
      </c>
      <c r="B400" s="45"/>
      <c r="C400" s="46"/>
      <c r="D400" s="46"/>
      <c r="E400" s="46"/>
      <c r="F400" s="46"/>
      <c r="G400" s="47"/>
      <c r="H400" s="47"/>
      <c r="I400" s="45"/>
      <c r="J400" s="45"/>
    </row>
    <row r="401" customFormat="false" ht="18" hidden="false" customHeight="true" outlineLevel="0" collapsed="false">
      <c r="A401" s="44" t="str">
        <f aca="false">IF(B401="","",ROW()-4)</f>
        <v/>
      </c>
      <c r="B401" s="45"/>
      <c r="C401" s="46"/>
      <c r="D401" s="46"/>
      <c r="E401" s="46"/>
      <c r="F401" s="46"/>
      <c r="G401" s="47"/>
      <c r="H401" s="47"/>
      <c r="I401" s="45"/>
      <c r="J401" s="45"/>
    </row>
    <row r="402" customFormat="false" ht="18" hidden="false" customHeight="true" outlineLevel="0" collapsed="false">
      <c r="A402" s="44" t="str">
        <f aca="false">IF(B402="","",ROW()-4)</f>
        <v/>
      </c>
      <c r="B402" s="45"/>
      <c r="C402" s="46"/>
      <c r="D402" s="46"/>
      <c r="E402" s="46"/>
      <c r="F402" s="46"/>
      <c r="G402" s="47"/>
      <c r="H402" s="47"/>
      <c r="I402" s="45"/>
      <c r="J402" s="45"/>
    </row>
    <row r="403" customFormat="false" ht="18" hidden="false" customHeight="true" outlineLevel="0" collapsed="false">
      <c r="A403" s="44" t="str">
        <f aca="false">IF(B403="","",ROW()-4)</f>
        <v/>
      </c>
      <c r="B403" s="45"/>
      <c r="C403" s="46"/>
      <c r="D403" s="46"/>
      <c r="E403" s="46"/>
      <c r="F403" s="46"/>
      <c r="G403" s="47"/>
      <c r="H403" s="47"/>
      <c r="I403" s="45"/>
      <c r="J403" s="45"/>
    </row>
    <row r="404" customFormat="false" ht="18" hidden="false" customHeight="true" outlineLevel="0" collapsed="false">
      <c r="A404" s="44" t="str">
        <f aca="false">IF(B404="","",ROW()-4)</f>
        <v/>
      </c>
      <c r="B404" s="45"/>
      <c r="C404" s="46"/>
      <c r="D404" s="46"/>
      <c r="E404" s="46"/>
      <c r="F404" s="46"/>
      <c r="G404" s="47"/>
      <c r="H404" s="47"/>
      <c r="I404" s="45"/>
      <c r="J404" s="45"/>
    </row>
    <row r="405" customFormat="false" ht="18" hidden="false" customHeight="true" outlineLevel="0" collapsed="false">
      <c r="A405" s="44" t="str">
        <f aca="false">IF(B405="","",ROW()-4)</f>
        <v/>
      </c>
      <c r="B405" s="45"/>
      <c r="C405" s="46"/>
      <c r="D405" s="46"/>
      <c r="E405" s="46"/>
      <c r="F405" s="46"/>
      <c r="G405" s="47"/>
      <c r="H405" s="47"/>
      <c r="I405" s="45"/>
      <c r="J405" s="45"/>
    </row>
    <row r="406" customFormat="false" ht="18" hidden="false" customHeight="true" outlineLevel="0" collapsed="false">
      <c r="A406" s="44" t="str">
        <f aca="false">IF(B406="","",ROW()-4)</f>
        <v/>
      </c>
      <c r="B406" s="45"/>
      <c r="C406" s="46"/>
      <c r="D406" s="46"/>
      <c r="E406" s="46"/>
      <c r="F406" s="46"/>
      <c r="G406" s="47"/>
      <c r="H406" s="47"/>
      <c r="I406" s="45"/>
      <c r="J406" s="45"/>
    </row>
    <row r="407" customFormat="false" ht="18" hidden="false" customHeight="true" outlineLevel="0" collapsed="false">
      <c r="A407" s="44" t="str">
        <f aca="false">IF(B407="","",ROW()-4)</f>
        <v/>
      </c>
      <c r="B407" s="45"/>
      <c r="C407" s="46"/>
      <c r="D407" s="46"/>
      <c r="E407" s="46"/>
      <c r="F407" s="46"/>
      <c r="G407" s="47"/>
      <c r="H407" s="47"/>
      <c r="I407" s="45"/>
      <c r="J407" s="45"/>
    </row>
    <row r="408" customFormat="false" ht="18" hidden="false" customHeight="true" outlineLevel="0" collapsed="false">
      <c r="A408" s="44" t="str">
        <f aca="false">IF(B408="","",ROW()-4)</f>
        <v/>
      </c>
      <c r="B408" s="45"/>
      <c r="C408" s="46"/>
      <c r="D408" s="46"/>
      <c r="E408" s="46"/>
      <c r="F408" s="46"/>
      <c r="G408" s="47"/>
      <c r="H408" s="47"/>
      <c r="I408" s="45"/>
      <c r="J408" s="45"/>
    </row>
    <row r="409" customFormat="false" ht="18" hidden="false" customHeight="true" outlineLevel="0" collapsed="false">
      <c r="A409" s="44" t="str">
        <f aca="false">IF(B409="","",ROW()-4)</f>
        <v/>
      </c>
      <c r="B409" s="45"/>
      <c r="C409" s="46"/>
      <c r="D409" s="46"/>
      <c r="E409" s="46"/>
      <c r="F409" s="46"/>
      <c r="G409" s="47"/>
      <c r="H409" s="47"/>
      <c r="I409" s="45"/>
      <c r="J409" s="45"/>
    </row>
    <row r="410" customFormat="false" ht="18" hidden="false" customHeight="true" outlineLevel="0" collapsed="false">
      <c r="A410" s="44" t="str">
        <f aca="false">IF(B410="","",ROW()-4)</f>
        <v/>
      </c>
      <c r="B410" s="45"/>
      <c r="C410" s="46"/>
      <c r="D410" s="46"/>
      <c r="E410" s="46"/>
      <c r="F410" s="46"/>
      <c r="G410" s="47"/>
      <c r="H410" s="47"/>
      <c r="I410" s="45"/>
      <c r="J410" s="45"/>
    </row>
    <row r="411" customFormat="false" ht="18" hidden="false" customHeight="true" outlineLevel="0" collapsed="false">
      <c r="A411" s="44" t="str">
        <f aca="false">IF(B411="","",ROW()-4)</f>
        <v/>
      </c>
      <c r="B411" s="45"/>
      <c r="C411" s="46"/>
      <c r="D411" s="46"/>
      <c r="E411" s="46"/>
      <c r="F411" s="46"/>
      <c r="G411" s="47"/>
      <c r="H411" s="47"/>
      <c r="I411" s="45"/>
      <c r="J411" s="45"/>
    </row>
    <row r="412" customFormat="false" ht="18" hidden="false" customHeight="true" outlineLevel="0" collapsed="false">
      <c r="A412" s="44" t="str">
        <f aca="false">IF(B412="","",ROW()-4)</f>
        <v/>
      </c>
      <c r="B412" s="45"/>
      <c r="C412" s="46"/>
      <c r="D412" s="46"/>
      <c r="E412" s="46"/>
      <c r="F412" s="46"/>
      <c r="G412" s="47"/>
      <c r="H412" s="47"/>
      <c r="I412" s="45"/>
      <c r="J412" s="45"/>
    </row>
    <row r="413" customFormat="false" ht="18" hidden="false" customHeight="true" outlineLevel="0" collapsed="false">
      <c r="A413" s="44" t="str">
        <f aca="false">IF(B413="","",ROW()-4)</f>
        <v/>
      </c>
      <c r="B413" s="45"/>
      <c r="C413" s="46"/>
      <c r="D413" s="46"/>
      <c r="E413" s="46"/>
      <c r="F413" s="46"/>
      <c r="G413" s="47"/>
      <c r="H413" s="47"/>
      <c r="I413" s="45"/>
      <c r="J413" s="45"/>
    </row>
    <row r="414" customFormat="false" ht="18" hidden="false" customHeight="true" outlineLevel="0" collapsed="false">
      <c r="A414" s="44" t="str">
        <f aca="false">IF(B414="","",ROW()-4)</f>
        <v/>
      </c>
      <c r="B414" s="45"/>
      <c r="C414" s="46"/>
      <c r="D414" s="46"/>
      <c r="E414" s="46"/>
      <c r="F414" s="46"/>
      <c r="G414" s="47"/>
      <c r="H414" s="47"/>
      <c r="I414" s="45"/>
      <c r="J414" s="45"/>
    </row>
    <row r="415" customFormat="false" ht="18" hidden="false" customHeight="true" outlineLevel="0" collapsed="false">
      <c r="A415" s="44" t="str">
        <f aca="false">IF(B415="","",ROW()-4)</f>
        <v/>
      </c>
      <c r="B415" s="45"/>
      <c r="C415" s="46"/>
      <c r="D415" s="46"/>
      <c r="E415" s="46"/>
      <c r="F415" s="46"/>
      <c r="G415" s="47"/>
      <c r="H415" s="47"/>
      <c r="I415" s="45"/>
      <c r="J415" s="45"/>
    </row>
    <row r="416" customFormat="false" ht="18" hidden="false" customHeight="true" outlineLevel="0" collapsed="false">
      <c r="A416" s="44" t="str">
        <f aca="false">IF(B416="","",ROW()-4)</f>
        <v/>
      </c>
      <c r="B416" s="45"/>
      <c r="C416" s="46"/>
      <c r="D416" s="46"/>
      <c r="E416" s="46"/>
      <c r="F416" s="46"/>
      <c r="G416" s="47"/>
      <c r="H416" s="47"/>
      <c r="I416" s="45"/>
      <c r="J416" s="45"/>
    </row>
    <row r="417" customFormat="false" ht="18" hidden="false" customHeight="true" outlineLevel="0" collapsed="false">
      <c r="A417" s="44" t="str">
        <f aca="false">IF(B417="","",ROW()-4)</f>
        <v/>
      </c>
      <c r="B417" s="45"/>
      <c r="C417" s="46"/>
      <c r="D417" s="46"/>
      <c r="E417" s="46"/>
      <c r="F417" s="46"/>
      <c r="G417" s="47"/>
      <c r="H417" s="47"/>
      <c r="I417" s="45"/>
      <c r="J417" s="45"/>
    </row>
    <row r="418" customFormat="false" ht="18" hidden="false" customHeight="true" outlineLevel="0" collapsed="false">
      <c r="A418" s="44" t="str">
        <f aca="false">IF(B418="","",ROW()-4)</f>
        <v/>
      </c>
      <c r="B418" s="45"/>
      <c r="C418" s="46"/>
      <c r="D418" s="46"/>
      <c r="E418" s="46"/>
      <c r="F418" s="46"/>
      <c r="G418" s="47"/>
      <c r="H418" s="47"/>
      <c r="I418" s="45"/>
      <c r="J418" s="45"/>
    </row>
    <row r="419" customFormat="false" ht="18" hidden="false" customHeight="true" outlineLevel="0" collapsed="false">
      <c r="A419" s="44" t="str">
        <f aca="false">IF(B419="","",ROW()-4)</f>
        <v/>
      </c>
      <c r="B419" s="45"/>
      <c r="C419" s="46"/>
      <c r="D419" s="46"/>
      <c r="E419" s="46"/>
      <c r="F419" s="46"/>
      <c r="G419" s="47"/>
      <c r="H419" s="47"/>
      <c r="I419" s="45"/>
      <c r="J419" s="45"/>
    </row>
    <row r="420" customFormat="false" ht="18" hidden="false" customHeight="true" outlineLevel="0" collapsed="false">
      <c r="A420" s="44" t="str">
        <f aca="false">IF(B420="","",ROW()-4)</f>
        <v/>
      </c>
      <c r="B420" s="45"/>
      <c r="C420" s="46"/>
      <c r="D420" s="46"/>
      <c r="E420" s="46"/>
      <c r="F420" s="46"/>
      <c r="G420" s="47"/>
      <c r="H420" s="47"/>
      <c r="I420" s="45"/>
      <c r="J420" s="45"/>
    </row>
    <row r="421" customFormat="false" ht="18" hidden="false" customHeight="true" outlineLevel="0" collapsed="false">
      <c r="A421" s="44" t="str">
        <f aca="false">IF(B421="","",ROW()-4)</f>
        <v/>
      </c>
      <c r="B421" s="45"/>
      <c r="C421" s="46"/>
      <c r="D421" s="46"/>
      <c r="E421" s="46"/>
      <c r="F421" s="46"/>
      <c r="G421" s="47"/>
      <c r="H421" s="47"/>
      <c r="I421" s="45"/>
      <c r="J421" s="45"/>
    </row>
    <row r="422" customFormat="false" ht="18" hidden="false" customHeight="true" outlineLevel="0" collapsed="false">
      <c r="A422" s="44" t="str">
        <f aca="false">IF(B422="","",ROW()-4)</f>
        <v/>
      </c>
      <c r="B422" s="45"/>
      <c r="C422" s="46"/>
      <c r="D422" s="46"/>
      <c r="E422" s="46"/>
      <c r="F422" s="46"/>
      <c r="G422" s="47"/>
      <c r="H422" s="47"/>
      <c r="I422" s="45"/>
      <c r="J422" s="45"/>
    </row>
    <row r="423" customFormat="false" ht="18" hidden="false" customHeight="true" outlineLevel="0" collapsed="false">
      <c r="A423" s="44" t="str">
        <f aca="false">IF(B423="","",ROW()-4)</f>
        <v/>
      </c>
      <c r="B423" s="45"/>
      <c r="C423" s="46"/>
      <c r="D423" s="46"/>
      <c r="E423" s="46"/>
      <c r="F423" s="46"/>
      <c r="G423" s="47"/>
      <c r="H423" s="47"/>
      <c r="I423" s="45"/>
      <c r="J423" s="45"/>
    </row>
    <row r="424" customFormat="false" ht="18" hidden="false" customHeight="true" outlineLevel="0" collapsed="false">
      <c r="A424" s="44" t="str">
        <f aca="false">IF(B424="","",ROW()-4)</f>
        <v/>
      </c>
      <c r="B424" s="45"/>
      <c r="C424" s="46"/>
      <c r="D424" s="46"/>
      <c r="E424" s="46"/>
      <c r="F424" s="46"/>
      <c r="G424" s="47"/>
      <c r="H424" s="47"/>
      <c r="I424" s="45"/>
      <c r="J424" s="45"/>
    </row>
    <row r="425" customFormat="false" ht="18" hidden="false" customHeight="true" outlineLevel="0" collapsed="false">
      <c r="A425" s="44" t="str">
        <f aca="false">IF(B425="","",ROW()-4)</f>
        <v/>
      </c>
      <c r="B425" s="45"/>
      <c r="C425" s="46"/>
      <c r="D425" s="46"/>
      <c r="E425" s="46"/>
      <c r="F425" s="46"/>
      <c r="G425" s="47"/>
      <c r="H425" s="47"/>
      <c r="I425" s="45"/>
      <c r="J425" s="45"/>
    </row>
    <row r="426" customFormat="false" ht="18" hidden="false" customHeight="true" outlineLevel="0" collapsed="false">
      <c r="A426" s="44" t="str">
        <f aca="false">IF(B426="","",ROW()-4)</f>
        <v/>
      </c>
      <c r="B426" s="45"/>
      <c r="C426" s="46"/>
      <c r="D426" s="46"/>
      <c r="E426" s="46"/>
      <c r="F426" s="46"/>
      <c r="G426" s="47"/>
      <c r="H426" s="47"/>
      <c r="I426" s="45"/>
      <c r="J426" s="45"/>
    </row>
    <row r="427" customFormat="false" ht="18" hidden="false" customHeight="true" outlineLevel="0" collapsed="false">
      <c r="A427" s="44" t="str">
        <f aca="false">IF(B427="","",ROW()-4)</f>
        <v/>
      </c>
      <c r="B427" s="45"/>
      <c r="C427" s="46"/>
      <c r="D427" s="46"/>
      <c r="E427" s="46"/>
      <c r="F427" s="46"/>
      <c r="G427" s="47"/>
      <c r="H427" s="47"/>
      <c r="I427" s="45"/>
      <c r="J427" s="45"/>
    </row>
    <row r="428" customFormat="false" ht="18" hidden="false" customHeight="true" outlineLevel="0" collapsed="false">
      <c r="A428" s="44" t="str">
        <f aca="false">IF(B428="","",ROW()-4)</f>
        <v/>
      </c>
      <c r="B428" s="45"/>
      <c r="C428" s="46"/>
      <c r="D428" s="46"/>
      <c r="E428" s="46"/>
      <c r="F428" s="46"/>
      <c r="G428" s="47"/>
      <c r="H428" s="47"/>
      <c r="I428" s="45"/>
      <c r="J428" s="45"/>
    </row>
    <row r="429" customFormat="false" ht="18" hidden="false" customHeight="true" outlineLevel="0" collapsed="false">
      <c r="A429" s="44" t="str">
        <f aca="false">IF(B429="","",ROW()-4)</f>
        <v/>
      </c>
      <c r="B429" s="45"/>
      <c r="C429" s="46"/>
      <c r="D429" s="46"/>
      <c r="E429" s="46"/>
      <c r="F429" s="46"/>
      <c r="G429" s="47"/>
      <c r="H429" s="47"/>
      <c r="I429" s="45"/>
      <c r="J429" s="45"/>
    </row>
    <row r="430" customFormat="false" ht="18" hidden="false" customHeight="true" outlineLevel="0" collapsed="false">
      <c r="A430" s="44" t="str">
        <f aca="false">IF(B430="","",ROW()-4)</f>
        <v/>
      </c>
      <c r="B430" s="45"/>
      <c r="C430" s="46"/>
      <c r="D430" s="46"/>
      <c r="E430" s="46"/>
      <c r="F430" s="46"/>
      <c r="G430" s="47"/>
      <c r="H430" s="47"/>
      <c r="I430" s="45"/>
      <c r="J430" s="45"/>
    </row>
    <row r="431" customFormat="false" ht="18" hidden="false" customHeight="true" outlineLevel="0" collapsed="false">
      <c r="A431" s="44" t="str">
        <f aca="false">IF(B431="","",ROW()-4)</f>
        <v/>
      </c>
      <c r="B431" s="45"/>
      <c r="C431" s="46"/>
      <c r="D431" s="46"/>
      <c r="E431" s="46"/>
      <c r="F431" s="46"/>
      <c r="G431" s="47"/>
      <c r="H431" s="47"/>
      <c r="I431" s="45"/>
      <c r="J431" s="45"/>
    </row>
    <row r="432" customFormat="false" ht="18" hidden="false" customHeight="true" outlineLevel="0" collapsed="false">
      <c r="A432" s="44" t="str">
        <f aca="false">IF(B432="","",ROW()-4)</f>
        <v/>
      </c>
      <c r="B432" s="45"/>
      <c r="C432" s="46"/>
      <c r="D432" s="46"/>
      <c r="E432" s="46"/>
      <c r="F432" s="46"/>
      <c r="G432" s="47"/>
      <c r="H432" s="47"/>
      <c r="I432" s="45"/>
      <c r="J432" s="45"/>
    </row>
    <row r="433" customFormat="false" ht="18" hidden="false" customHeight="true" outlineLevel="0" collapsed="false">
      <c r="A433" s="44" t="str">
        <f aca="false">IF(B433="","",ROW()-4)</f>
        <v/>
      </c>
      <c r="B433" s="45"/>
      <c r="C433" s="46"/>
      <c r="D433" s="46"/>
      <c r="E433" s="46"/>
      <c r="F433" s="46"/>
      <c r="G433" s="47"/>
      <c r="H433" s="47"/>
      <c r="I433" s="45"/>
      <c r="J433" s="45"/>
    </row>
    <row r="434" customFormat="false" ht="18" hidden="false" customHeight="true" outlineLevel="0" collapsed="false">
      <c r="A434" s="44" t="str">
        <f aca="false">IF(B434="","",ROW()-4)</f>
        <v/>
      </c>
      <c r="B434" s="45"/>
      <c r="C434" s="46"/>
      <c r="D434" s="46"/>
      <c r="E434" s="46"/>
      <c r="F434" s="46"/>
      <c r="G434" s="47"/>
      <c r="H434" s="47"/>
      <c r="I434" s="45"/>
      <c r="J434" s="45"/>
    </row>
    <row r="435" customFormat="false" ht="18" hidden="false" customHeight="true" outlineLevel="0" collapsed="false">
      <c r="A435" s="44" t="str">
        <f aca="false">IF(B435="","",ROW()-4)</f>
        <v/>
      </c>
      <c r="B435" s="45"/>
      <c r="C435" s="46"/>
      <c r="D435" s="46"/>
      <c r="E435" s="46"/>
      <c r="F435" s="46"/>
      <c r="G435" s="47"/>
      <c r="H435" s="47"/>
      <c r="I435" s="45"/>
      <c r="J435" s="45"/>
    </row>
    <row r="436" customFormat="false" ht="18" hidden="false" customHeight="true" outlineLevel="0" collapsed="false">
      <c r="A436" s="44" t="str">
        <f aca="false">IF(B436="","",ROW()-4)</f>
        <v/>
      </c>
      <c r="B436" s="45"/>
      <c r="C436" s="46"/>
      <c r="D436" s="46"/>
      <c r="E436" s="46"/>
      <c r="F436" s="46"/>
      <c r="G436" s="47"/>
      <c r="H436" s="47"/>
      <c r="I436" s="45"/>
      <c r="J436" s="45"/>
    </row>
    <row r="437" customFormat="false" ht="18" hidden="false" customHeight="true" outlineLevel="0" collapsed="false">
      <c r="A437" s="44" t="str">
        <f aca="false">IF(B437="","",ROW()-4)</f>
        <v/>
      </c>
      <c r="B437" s="45"/>
      <c r="C437" s="46"/>
      <c r="D437" s="46"/>
      <c r="E437" s="46"/>
      <c r="F437" s="46"/>
      <c r="G437" s="47"/>
      <c r="H437" s="47"/>
      <c r="I437" s="45"/>
      <c r="J437" s="45"/>
    </row>
    <row r="438" customFormat="false" ht="18" hidden="false" customHeight="true" outlineLevel="0" collapsed="false">
      <c r="A438" s="44" t="str">
        <f aca="false">IF(B438="","",ROW()-4)</f>
        <v/>
      </c>
      <c r="B438" s="45"/>
      <c r="C438" s="46"/>
      <c r="D438" s="46"/>
      <c r="E438" s="46"/>
      <c r="F438" s="46"/>
      <c r="G438" s="47"/>
      <c r="H438" s="47"/>
      <c r="I438" s="45"/>
      <c r="J438" s="45"/>
    </row>
    <row r="439" customFormat="false" ht="18" hidden="false" customHeight="true" outlineLevel="0" collapsed="false">
      <c r="A439" s="44" t="str">
        <f aca="false">IF(B439="","",ROW()-4)</f>
        <v/>
      </c>
      <c r="B439" s="45"/>
      <c r="C439" s="46"/>
      <c r="D439" s="46"/>
      <c r="E439" s="46"/>
      <c r="F439" s="46"/>
      <c r="G439" s="47"/>
      <c r="H439" s="47"/>
      <c r="I439" s="45"/>
      <c r="J439" s="45"/>
    </row>
    <row r="440" customFormat="false" ht="18" hidden="false" customHeight="true" outlineLevel="0" collapsed="false">
      <c r="A440" s="44" t="str">
        <f aca="false">IF(B440="","",ROW()-4)</f>
        <v/>
      </c>
      <c r="B440" s="45"/>
      <c r="C440" s="46"/>
      <c r="D440" s="46"/>
      <c r="E440" s="46"/>
      <c r="F440" s="46"/>
      <c r="G440" s="47"/>
      <c r="H440" s="47"/>
      <c r="I440" s="45"/>
      <c r="J440" s="45"/>
    </row>
    <row r="441" customFormat="false" ht="18" hidden="false" customHeight="true" outlineLevel="0" collapsed="false">
      <c r="A441" s="44" t="str">
        <f aca="false">IF(B441="","",ROW()-4)</f>
        <v/>
      </c>
      <c r="B441" s="45"/>
      <c r="C441" s="46"/>
      <c r="D441" s="46"/>
      <c r="E441" s="46"/>
      <c r="F441" s="46"/>
      <c r="G441" s="47"/>
      <c r="H441" s="47"/>
      <c r="I441" s="45"/>
      <c r="J441" s="45"/>
    </row>
    <row r="442" customFormat="false" ht="18" hidden="false" customHeight="true" outlineLevel="0" collapsed="false">
      <c r="A442" s="44" t="str">
        <f aca="false">IF(B442="","",ROW()-4)</f>
        <v/>
      </c>
      <c r="B442" s="45"/>
      <c r="C442" s="46"/>
      <c r="D442" s="46"/>
      <c r="E442" s="46"/>
      <c r="F442" s="46"/>
      <c r="G442" s="47"/>
      <c r="H442" s="47"/>
      <c r="I442" s="45"/>
      <c r="J442" s="45"/>
    </row>
    <row r="443" customFormat="false" ht="18" hidden="false" customHeight="true" outlineLevel="0" collapsed="false">
      <c r="A443" s="44" t="str">
        <f aca="false">IF(B443="","",ROW()-4)</f>
        <v/>
      </c>
      <c r="B443" s="45"/>
      <c r="C443" s="46"/>
      <c r="D443" s="46"/>
      <c r="E443" s="46"/>
      <c r="F443" s="46"/>
      <c r="G443" s="47"/>
      <c r="H443" s="47"/>
      <c r="I443" s="45"/>
      <c r="J443" s="45"/>
    </row>
    <row r="444" customFormat="false" ht="18" hidden="false" customHeight="true" outlineLevel="0" collapsed="false">
      <c r="A444" s="44" t="str">
        <f aca="false">IF(B444="","",ROW()-4)</f>
        <v/>
      </c>
      <c r="B444" s="45"/>
      <c r="C444" s="46"/>
      <c r="D444" s="46"/>
      <c r="E444" s="46"/>
      <c r="F444" s="46"/>
      <c r="G444" s="47"/>
      <c r="H444" s="47"/>
      <c r="I444" s="45"/>
      <c r="J444" s="45"/>
    </row>
    <row r="445" customFormat="false" ht="18" hidden="false" customHeight="true" outlineLevel="0" collapsed="false">
      <c r="A445" s="44" t="str">
        <f aca="false">IF(B445="","",ROW()-4)</f>
        <v/>
      </c>
      <c r="B445" s="45"/>
      <c r="C445" s="46"/>
      <c r="D445" s="46"/>
      <c r="E445" s="46"/>
      <c r="F445" s="46"/>
      <c r="G445" s="47"/>
      <c r="H445" s="47"/>
      <c r="I445" s="45"/>
      <c r="J445" s="45"/>
    </row>
    <row r="446" customFormat="false" ht="18" hidden="false" customHeight="true" outlineLevel="0" collapsed="false">
      <c r="A446" s="44" t="str">
        <f aca="false">IF(B446="","",ROW()-4)</f>
        <v/>
      </c>
      <c r="B446" s="45"/>
      <c r="C446" s="46"/>
      <c r="D446" s="46"/>
      <c r="E446" s="46"/>
      <c r="F446" s="46"/>
      <c r="G446" s="47"/>
      <c r="H446" s="47"/>
      <c r="I446" s="45"/>
      <c r="J446" s="45"/>
    </row>
    <row r="447" customFormat="false" ht="18" hidden="false" customHeight="true" outlineLevel="0" collapsed="false">
      <c r="A447" s="44" t="str">
        <f aca="false">IF(B447="","",ROW()-4)</f>
        <v/>
      </c>
      <c r="B447" s="45"/>
      <c r="C447" s="46"/>
      <c r="D447" s="46"/>
      <c r="E447" s="46"/>
      <c r="F447" s="46"/>
      <c r="G447" s="47"/>
      <c r="H447" s="47"/>
      <c r="I447" s="45"/>
      <c r="J447" s="45"/>
    </row>
    <row r="448" customFormat="false" ht="18" hidden="false" customHeight="true" outlineLevel="0" collapsed="false">
      <c r="A448" s="44" t="str">
        <f aca="false">IF(B448="","",ROW()-4)</f>
        <v/>
      </c>
      <c r="B448" s="45"/>
      <c r="C448" s="46"/>
      <c r="D448" s="46"/>
      <c r="E448" s="46"/>
      <c r="F448" s="46"/>
      <c r="G448" s="47"/>
      <c r="H448" s="47"/>
      <c r="I448" s="45"/>
      <c r="J448" s="45"/>
    </row>
    <row r="449" customFormat="false" ht="18" hidden="false" customHeight="true" outlineLevel="0" collapsed="false">
      <c r="A449" s="44" t="str">
        <f aca="false">IF(B449="","",ROW()-4)</f>
        <v/>
      </c>
      <c r="B449" s="45"/>
      <c r="C449" s="46"/>
      <c r="D449" s="46"/>
      <c r="E449" s="46"/>
      <c r="F449" s="46"/>
      <c r="G449" s="47"/>
      <c r="H449" s="47"/>
      <c r="I449" s="45"/>
      <c r="J449" s="45"/>
    </row>
    <row r="450" customFormat="false" ht="18" hidden="false" customHeight="true" outlineLevel="0" collapsed="false">
      <c r="A450" s="44" t="str">
        <f aca="false">IF(B450="","",ROW()-4)</f>
        <v/>
      </c>
      <c r="B450" s="45"/>
      <c r="C450" s="46"/>
      <c r="D450" s="46"/>
      <c r="E450" s="46"/>
      <c r="F450" s="46"/>
      <c r="G450" s="47"/>
      <c r="H450" s="47"/>
      <c r="I450" s="45"/>
      <c r="J450" s="45"/>
    </row>
    <row r="451" customFormat="false" ht="18" hidden="false" customHeight="true" outlineLevel="0" collapsed="false">
      <c r="A451" s="44" t="str">
        <f aca="false">IF(B451="","",ROW()-4)</f>
        <v/>
      </c>
      <c r="B451" s="45"/>
      <c r="C451" s="46"/>
      <c r="D451" s="46"/>
      <c r="E451" s="46"/>
      <c r="F451" s="46"/>
      <c r="G451" s="47"/>
      <c r="H451" s="47"/>
      <c r="I451" s="45"/>
      <c r="J451" s="45"/>
    </row>
    <row r="452" customFormat="false" ht="18" hidden="false" customHeight="true" outlineLevel="0" collapsed="false">
      <c r="A452" s="44" t="str">
        <f aca="false">IF(B452="","",ROW()-4)</f>
        <v/>
      </c>
      <c r="B452" s="45"/>
      <c r="C452" s="46"/>
      <c r="D452" s="46"/>
      <c r="E452" s="46"/>
      <c r="F452" s="46"/>
      <c r="G452" s="47"/>
      <c r="H452" s="47"/>
      <c r="I452" s="45"/>
      <c r="J452" s="45"/>
    </row>
    <row r="453" customFormat="false" ht="18" hidden="false" customHeight="true" outlineLevel="0" collapsed="false">
      <c r="A453" s="44" t="str">
        <f aca="false">IF(B453="","",ROW()-4)</f>
        <v/>
      </c>
      <c r="B453" s="45"/>
      <c r="C453" s="46"/>
      <c r="D453" s="46"/>
      <c r="E453" s="46"/>
      <c r="F453" s="46"/>
      <c r="G453" s="47"/>
      <c r="H453" s="47"/>
      <c r="I453" s="45"/>
      <c r="J453" s="45"/>
    </row>
    <row r="454" customFormat="false" ht="18" hidden="false" customHeight="true" outlineLevel="0" collapsed="false">
      <c r="A454" s="44" t="str">
        <f aca="false">IF(B454="","",ROW()-4)</f>
        <v/>
      </c>
      <c r="B454" s="45"/>
      <c r="C454" s="46"/>
      <c r="D454" s="46"/>
      <c r="E454" s="46"/>
      <c r="F454" s="46"/>
      <c r="G454" s="47"/>
      <c r="H454" s="47"/>
      <c r="I454" s="45"/>
      <c r="J454" s="45"/>
    </row>
    <row r="455" customFormat="false" ht="18" hidden="false" customHeight="true" outlineLevel="0" collapsed="false">
      <c r="A455" s="44" t="str">
        <f aca="false">IF(B455="","",ROW()-4)</f>
        <v/>
      </c>
      <c r="B455" s="45"/>
      <c r="C455" s="46"/>
      <c r="D455" s="46"/>
      <c r="E455" s="46"/>
      <c r="F455" s="46"/>
      <c r="G455" s="47"/>
      <c r="H455" s="47"/>
      <c r="I455" s="45"/>
      <c r="J455" s="45"/>
    </row>
    <row r="456" customFormat="false" ht="18" hidden="false" customHeight="true" outlineLevel="0" collapsed="false">
      <c r="A456" s="44" t="str">
        <f aca="false">IF(B456="","",ROW()-4)</f>
        <v/>
      </c>
      <c r="B456" s="45"/>
      <c r="C456" s="46"/>
      <c r="D456" s="46"/>
      <c r="E456" s="46"/>
      <c r="F456" s="46"/>
      <c r="G456" s="47"/>
      <c r="H456" s="47"/>
      <c r="I456" s="45"/>
      <c r="J456" s="45"/>
    </row>
    <row r="457" customFormat="false" ht="18" hidden="false" customHeight="true" outlineLevel="0" collapsed="false">
      <c r="A457" s="44" t="str">
        <f aca="false">IF(B457="","",ROW()-4)</f>
        <v/>
      </c>
      <c r="B457" s="45"/>
      <c r="C457" s="46"/>
      <c r="D457" s="46"/>
      <c r="E457" s="46"/>
      <c r="F457" s="46"/>
      <c r="G457" s="47"/>
      <c r="H457" s="47"/>
      <c r="I457" s="45"/>
      <c r="J457" s="45"/>
    </row>
    <row r="458" customFormat="false" ht="18" hidden="false" customHeight="true" outlineLevel="0" collapsed="false">
      <c r="A458" s="44" t="str">
        <f aca="false">IF(B458="","",ROW()-4)</f>
        <v/>
      </c>
      <c r="B458" s="45"/>
      <c r="C458" s="46"/>
      <c r="D458" s="46"/>
      <c r="E458" s="46"/>
      <c r="F458" s="46"/>
      <c r="G458" s="47"/>
      <c r="H458" s="47"/>
      <c r="I458" s="45"/>
      <c r="J458" s="45"/>
    </row>
    <row r="459" customFormat="false" ht="18" hidden="false" customHeight="true" outlineLevel="0" collapsed="false">
      <c r="A459" s="44" t="str">
        <f aca="false">IF(B459="","",ROW()-4)</f>
        <v/>
      </c>
      <c r="B459" s="45"/>
      <c r="C459" s="46"/>
      <c r="D459" s="46"/>
      <c r="E459" s="46"/>
      <c r="F459" s="46"/>
      <c r="G459" s="47"/>
      <c r="H459" s="47"/>
      <c r="I459" s="45"/>
      <c r="J459" s="45"/>
    </row>
    <row r="460" customFormat="false" ht="18" hidden="false" customHeight="true" outlineLevel="0" collapsed="false">
      <c r="A460" s="44" t="str">
        <f aca="false">IF(B460="","",ROW()-4)</f>
        <v/>
      </c>
      <c r="B460" s="45"/>
      <c r="C460" s="46"/>
      <c r="D460" s="46"/>
      <c r="E460" s="46"/>
      <c r="F460" s="46"/>
      <c r="G460" s="47"/>
      <c r="H460" s="47"/>
      <c r="I460" s="45"/>
      <c r="J460" s="45"/>
    </row>
    <row r="461" customFormat="false" ht="18" hidden="false" customHeight="true" outlineLevel="0" collapsed="false">
      <c r="A461" s="44" t="str">
        <f aca="false">IF(B461="","",ROW()-4)</f>
        <v/>
      </c>
      <c r="B461" s="45"/>
      <c r="C461" s="46"/>
      <c r="D461" s="46"/>
      <c r="E461" s="46"/>
      <c r="F461" s="46"/>
      <c r="G461" s="47"/>
      <c r="H461" s="47"/>
      <c r="I461" s="45"/>
      <c r="J461" s="45"/>
    </row>
    <row r="462" customFormat="false" ht="18" hidden="false" customHeight="true" outlineLevel="0" collapsed="false">
      <c r="A462" s="44" t="str">
        <f aca="false">IF(B462="","",ROW()-4)</f>
        <v/>
      </c>
      <c r="B462" s="45"/>
      <c r="C462" s="46"/>
      <c r="D462" s="46"/>
      <c r="E462" s="46"/>
      <c r="F462" s="46"/>
      <c r="G462" s="47"/>
      <c r="H462" s="47"/>
      <c r="I462" s="45"/>
      <c r="J462" s="45"/>
    </row>
    <row r="463" customFormat="false" ht="18" hidden="false" customHeight="true" outlineLevel="0" collapsed="false">
      <c r="A463" s="44" t="str">
        <f aca="false">IF(B463="","",ROW()-4)</f>
        <v/>
      </c>
      <c r="B463" s="45"/>
      <c r="C463" s="46"/>
      <c r="D463" s="46"/>
      <c r="E463" s="46"/>
      <c r="F463" s="46"/>
      <c r="G463" s="47"/>
      <c r="H463" s="47"/>
      <c r="I463" s="45"/>
      <c r="J463" s="45"/>
    </row>
    <row r="464" customFormat="false" ht="18" hidden="false" customHeight="true" outlineLevel="0" collapsed="false">
      <c r="A464" s="44" t="str">
        <f aca="false">IF(B464="","",ROW()-4)</f>
        <v/>
      </c>
      <c r="B464" s="45"/>
      <c r="C464" s="46"/>
      <c r="D464" s="46"/>
      <c r="E464" s="46"/>
      <c r="F464" s="46"/>
      <c r="G464" s="47"/>
      <c r="H464" s="47"/>
      <c r="I464" s="45"/>
      <c r="J464" s="45"/>
    </row>
    <row r="465" customFormat="false" ht="18" hidden="false" customHeight="true" outlineLevel="0" collapsed="false">
      <c r="A465" s="44" t="str">
        <f aca="false">IF(B465="","",ROW()-4)</f>
        <v/>
      </c>
      <c r="B465" s="45"/>
      <c r="C465" s="46"/>
      <c r="D465" s="46"/>
      <c r="E465" s="46"/>
      <c r="F465" s="46"/>
      <c r="G465" s="47"/>
      <c r="H465" s="47"/>
      <c r="I465" s="45"/>
      <c r="J465" s="45"/>
    </row>
    <row r="466" customFormat="false" ht="18" hidden="false" customHeight="true" outlineLevel="0" collapsed="false">
      <c r="A466" s="44" t="str">
        <f aca="false">IF(B466="","",ROW()-4)</f>
        <v/>
      </c>
      <c r="B466" s="45"/>
      <c r="C466" s="46"/>
      <c r="D466" s="46"/>
      <c r="E466" s="46"/>
      <c r="F466" s="46"/>
      <c r="G466" s="47"/>
      <c r="H466" s="47"/>
      <c r="I466" s="45"/>
      <c r="J466" s="45"/>
    </row>
    <row r="467" customFormat="false" ht="18" hidden="false" customHeight="true" outlineLevel="0" collapsed="false">
      <c r="A467" s="44" t="str">
        <f aca="false">IF(B467="","",ROW()-4)</f>
        <v/>
      </c>
      <c r="B467" s="45"/>
      <c r="C467" s="46"/>
      <c r="D467" s="46"/>
      <c r="E467" s="46"/>
      <c r="F467" s="46"/>
      <c r="G467" s="47"/>
      <c r="H467" s="47"/>
      <c r="I467" s="45"/>
      <c r="J467" s="45"/>
    </row>
    <row r="468" customFormat="false" ht="18" hidden="false" customHeight="true" outlineLevel="0" collapsed="false">
      <c r="A468" s="44" t="str">
        <f aca="false">IF(B468="","",ROW()-4)</f>
        <v/>
      </c>
      <c r="B468" s="45"/>
      <c r="C468" s="46"/>
      <c r="D468" s="46"/>
      <c r="E468" s="46"/>
      <c r="F468" s="46"/>
      <c r="G468" s="47"/>
      <c r="H468" s="47"/>
      <c r="I468" s="45"/>
      <c r="J468" s="45"/>
    </row>
    <row r="469" customFormat="false" ht="18" hidden="false" customHeight="true" outlineLevel="0" collapsed="false">
      <c r="A469" s="44" t="str">
        <f aca="false">IF(B469="","",ROW()-4)</f>
        <v/>
      </c>
      <c r="B469" s="45"/>
      <c r="C469" s="46"/>
      <c r="D469" s="46"/>
      <c r="E469" s="46"/>
      <c r="F469" s="46"/>
      <c r="G469" s="47"/>
      <c r="H469" s="47"/>
      <c r="I469" s="45"/>
      <c r="J469" s="45"/>
    </row>
    <row r="470" customFormat="false" ht="18" hidden="false" customHeight="true" outlineLevel="0" collapsed="false">
      <c r="A470" s="44" t="str">
        <f aca="false">IF(B470="","",ROW()-4)</f>
        <v/>
      </c>
      <c r="B470" s="45"/>
      <c r="C470" s="46"/>
      <c r="D470" s="46"/>
      <c r="E470" s="46"/>
      <c r="F470" s="46"/>
      <c r="G470" s="47"/>
      <c r="H470" s="47"/>
      <c r="I470" s="45"/>
      <c r="J470" s="45"/>
    </row>
    <row r="471" customFormat="false" ht="18" hidden="false" customHeight="true" outlineLevel="0" collapsed="false">
      <c r="A471" s="44" t="str">
        <f aca="false">IF(B471="","",ROW()-4)</f>
        <v/>
      </c>
      <c r="B471" s="45"/>
      <c r="C471" s="46"/>
      <c r="D471" s="46"/>
      <c r="E471" s="46"/>
      <c r="F471" s="46"/>
      <c r="G471" s="47"/>
      <c r="H471" s="47"/>
      <c r="I471" s="45"/>
      <c r="J471" s="45"/>
    </row>
    <row r="472" customFormat="false" ht="18" hidden="false" customHeight="true" outlineLevel="0" collapsed="false">
      <c r="A472" s="44" t="str">
        <f aca="false">IF(B472="","",ROW()-4)</f>
        <v/>
      </c>
      <c r="B472" s="45"/>
      <c r="C472" s="46"/>
      <c r="D472" s="46"/>
      <c r="E472" s="46"/>
      <c r="F472" s="46"/>
      <c r="G472" s="47"/>
      <c r="H472" s="47"/>
      <c r="I472" s="45"/>
      <c r="J472" s="45"/>
    </row>
    <row r="473" customFormat="false" ht="18" hidden="false" customHeight="true" outlineLevel="0" collapsed="false">
      <c r="A473" s="44" t="str">
        <f aca="false">IF(B473="","",ROW()-4)</f>
        <v/>
      </c>
      <c r="B473" s="45"/>
      <c r="C473" s="46"/>
      <c r="D473" s="46"/>
      <c r="E473" s="46"/>
      <c r="F473" s="46"/>
      <c r="G473" s="47"/>
      <c r="H473" s="47"/>
      <c r="I473" s="45"/>
      <c r="J473" s="45"/>
    </row>
    <row r="474" customFormat="false" ht="18" hidden="false" customHeight="true" outlineLevel="0" collapsed="false">
      <c r="A474" s="44" t="str">
        <f aca="false">IF(B474="","",ROW()-4)</f>
        <v/>
      </c>
      <c r="B474" s="45"/>
      <c r="C474" s="46"/>
      <c r="D474" s="46"/>
      <c r="E474" s="46"/>
      <c r="F474" s="46"/>
      <c r="G474" s="47"/>
      <c r="H474" s="47"/>
      <c r="I474" s="45"/>
      <c r="J474" s="45"/>
    </row>
    <row r="475" customFormat="false" ht="18" hidden="false" customHeight="true" outlineLevel="0" collapsed="false">
      <c r="A475" s="44" t="str">
        <f aca="false">IF(B475="","",ROW()-4)</f>
        <v/>
      </c>
      <c r="B475" s="45"/>
      <c r="C475" s="46"/>
      <c r="D475" s="46"/>
      <c r="E475" s="46"/>
      <c r="F475" s="46"/>
      <c r="G475" s="47"/>
      <c r="H475" s="47"/>
      <c r="I475" s="45"/>
      <c r="J475" s="45"/>
    </row>
    <row r="476" customFormat="false" ht="18" hidden="false" customHeight="true" outlineLevel="0" collapsed="false">
      <c r="A476" s="44" t="str">
        <f aca="false">IF(B476="","",ROW()-4)</f>
        <v/>
      </c>
      <c r="B476" s="45"/>
      <c r="C476" s="46"/>
      <c r="D476" s="46"/>
      <c r="E476" s="46"/>
      <c r="F476" s="46"/>
      <c r="G476" s="47"/>
      <c r="H476" s="47"/>
      <c r="I476" s="45"/>
      <c r="J476" s="45"/>
    </row>
    <row r="477" customFormat="false" ht="18" hidden="false" customHeight="true" outlineLevel="0" collapsed="false">
      <c r="A477" s="44" t="str">
        <f aca="false">IF(B477="","",ROW()-4)</f>
        <v/>
      </c>
      <c r="B477" s="45"/>
      <c r="C477" s="46"/>
      <c r="D477" s="46"/>
      <c r="E477" s="46"/>
      <c r="F477" s="46"/>
      <c r="G477" s="47"/>
      <c r="H477" s="47"/>
      <c r="I477" s="45"/>
      <c r="J477" s="45"/>
    </row>
    <row r="478" customFormat="false" ht="18" hidden="false" customHeight="true" outlineLevel="0" collapsed="false">
      <c r="A478" s="44" t="str">
        <f aca="false">IF(B478="","",ROW()-4)</f>
        <v/>
      </c>
      <c r="B478" s="45"/>
      <c r="C478" s="46"/>
      <c r="D478" s="46"/>
      <c r="E478" s="46"/>
      <c r="F478" s="46"/>
      <c r="G478" s="47"/>
      <c r="H478" s="47"/>
      <c r="I478" s="45"/>
      <c r="J478" s="45"/>
    </row>
    <row r="479" customFormat="false" ht="18" hidden="false" customHeight="true" outlineLevel="0" collapsed="false">
      <c r="A479" s="44" t="str">
        <f aca="false">IF(B479="","",ROW()-4)</f>
        <v/>
      </c>
      <c r="B479" s="45"/>
      <c r="C479" s="46"/>
      <c r="D479" s="46"/>
      <c r="E479" s="46"/>
      <c r="F479" s="46"/>
      <c r="G479" s="47"/>
      <c r="H479" s="47"/>
      <c r="I479" s="45"/>
      <c r="J479" s="45"/>
    </row>
    <row r="480" customFormat="false" ht="18" hidden="false" customHeight="true" outlineLevel="0" collapsed="false">
      <c r="A480" s="44" t="str">
        <f aca="false">IF(B480="","",ROW()-4)</f>
        <v/>
      </c>
      <c r="B480" s="45"/>
      <c r="C480" s="46"/>
      <c r="D480" s="46"/>
      <c r="E480" s="46"/>
      <c r="F480" s="46"/>
      <c r="G480" s="47"/>
      <c r="H480" s="47"/>
      <c r="I480" s="45"/>
      <c r="J480" s="45"/>
    </row>
    <row r="481" customFormat="false" ht="18" hidden="false" customHeight="true" outlineLevel="0" collapsed="false">
      <c r="A481" s="44" t="str">
        <f aca="false">IF(B481="","",ROW()-4)</f>
        <v/>
      </c>
      <c r="B481" s="45"/>
      <c r="C481" s="46"/>
      <c r="D481" s="46"/>
      <c r="E481" s="46"/>
      <c r="F481" s="46"/>
      <c r="G481" s="47"/>
      <c r="H481" s="47"/>
      <c r="I481" s="45"/>
      <c r="J481" s="45"/>
    </row>
    <row r="482" customFormat="false" ht="18" hidden="false" customHeight="true" outlineLevel="0" collapsed="false">
      <c r="A482" s="44" t="str">
        <f aca="false">IF(B482="","",ROW()-4)</f>
        <v/>
      </c>
      <c r="B482" s="45"/>
      <c r="C482" s="46"/>
      <c r="D482" s="46"/>
      <c r="E482" s="46"/>
      <c r="F482" s="46"/>
      <c r="G482" s="47"/>
      <c r="H482" s="47"/>
      <c r="I482" s="45"/>
      <c r="J482" s="45"/>
    </row>
    <row r="483" customFormat="false" ht="18" hidden="false" customHeight="true" outlineLevel="0" collapsed="false">
      <c r="A483" s="44" t="str">
        <f aca="false">IF(B483="","",ROW()-4)</f>
        <v/>
      </c>
      <c r="B483" s="45"/>
      <c r="C483" s="46"/>
      <c r="D483" s="46"/>
      <c r="E483" s="46"/>
      <c r="F483" s="46"/>
      <c r="G483" s="47"/>
      <c r="H483" s="47"/>
      <c r="I483" s="45"/>
      <c r="J483" s="45"/>
    </row>
    <row r="484" customFormat="false" ht="18" hidden="false" customHeight="true" outlineLevel="0" collapsed="false">
      <c r="A484" s="44" t="str">
        <f aca="false">IF(B484="","",ROW()-4)</f>
        <v/>
      </c>
      <c r="B484" s="45"/>
      <c r="C484" s="46"/>
      <c r="D484" s="46"/>
      <c r="E484" s="46"/>
      <c r="F484" s="46"/>
      <c r="G484" s="47"/>
      <c r="H484" s="47"/>
      <c r="I484" s="45"/>
      <c r="J484" s="45"/>
    </row>
    <row r="485" customFormat="false" ht="18" hidden="false" customHeight="true" outlineLevel="0" collapsed="false">
      <c r="A485" s="44" t="str">
        <f aca="false">IF(B485="","",ROW()-4)</f>
        <v/>
      </c>
      <c r="B485" s="45"/>
      <c r="C485" s="46"/>
      <c r="D485" s="46"/>
      <c r="E485" s="46"/>
      <c r="F485" s="46"/>
      <c r="G485" s="47"/>
      <c r="H485" s="47"/>
      <c r="I485" s="45"/>
      <c r="J485" s="45"/>
    </row>
    <row r="486" customFormat="false" ht="18" hidden="false" customHeight="true" outlineLevel="0" collapsed="false">
      <c r="A486" s="44" t="str">
        <f aca="false">IF(B486="","",ROW()-4)</f>
        <v/>
      </c>
      <c r="B486" s="45"/>
      <c r="C486" s="46"/>
      <c r="D486" s="46"/>
      <c r="E486" s="46"/>
      <c r="F486" s="46"/>
      <c r="G486" s="47"/>
      <c r="H486" s="47"/>
      <c r="I486" s="45"/>
      <c r="J486" s="45"/>
    </row>
    <row r="487" customFormat="false" ht="18" hidden="false" customHeight="true" outlineLevel="0" collapsed="false">
      <c r="A487" s="44" t="str">
        <f aca="false">IF(B487="","",ROW()-4)</f>
        <v/>
      </c>
      <c r="B487" s="45"/>
      <c r="C487" s="46"/>
      <c r="D487" s="46"/>
      <c r="E487" s="46"/>
      <c r="F487" s="46"/>
      <c r="G487" s="47"/>
      <c r="H487" s="47"/>
      <c r="I487" s="45"/>
      <c r="J487" s="45"/>
    </row>
    <row r="488" customFormat="false" ht="18" hidden="false" customHeight="true" outlineLevel="0" collapsed="false">
      <c r="A488" s="44" t="str">
        <f aca="false">IF(B488="","",ROW()-4)</f>
        <v/>
      </c>
      <c r="B488" s="45"/>
      <c r="C488" s="46"/>
      <c r="D488" s="46"/>
      <c r="E488" s="46"/>
      <c r="F488" s="46"/>
      <c r="G488" s="47"/>
      <c r="H488" s="47"/>
      <c r="I488" s="45"/>
      <c r="J488" s="45"/>
    </row>
    <row r="489" customFormat="false" ht="18" hidden="false" customHeight="true" outlineLevel="0" collapsed="false">
      <c r="A489" s="44" t="str">
        <f aca="false">IF(B489="","",ROW()-4)</f>
        <v/>
      </c>
      <c r="B489" s="45"/>
      <c r="C489" s="46"/>
      <c r="D489" s="46"/>
      <c r="E489" s="46"/>
      <c r="F489" s="46"/>
      <c r="G489" s="47"/>
      <c r="H489" s="47"/>
      <c r="I489" s="45"/>
      <c r="J489" s="45"/>
    </row>
    <row r="490" customFormat="false" ht="18" hidden="false" customHeight="true" outlineLevel="0" collapsed="false">
      <c r="A490" s="44" t="str">
        <f aca="false">IF(B490="","",ROW()-4)</f>
        <v/>
      </c>
      <c r="B490" s="45"/>
      <c r="C490" s="46"/>
      <c r="D490" s="46"/>
      <c r="E490" s="46"/>
      <c r="F490" s="46"/>
      <c r="G490" s="47"/>
      <c r="H490" s="47"/>
      <c r="I490" s="45"/>
      <c r="J490" s="45"/>
    </row>
    <row r="491" customFormat="false" ht="18" hidden="false" customHeight="true" outlineLevel="0" collapsed="false">
      <c r="A491" s="44" t="str">
        <f aca="false">IF(B491="","",ROW()-4)</f>
        <v/>
      </c>
      <c r="B491" s="45"/>
      <c r="C491" s="46"/>
      <c r="D491" s="46"/>
      <c r="E491" s="46"/>
      <c r="F491" s="46"/>
      <c r="G491" s="47"/>
      <c r="H491" s="47"/>
      <c r="I491" s="45"/>
      <c r="J491" s="45"/>
    </row>
    <row r="492" customFormat="false" ht="18" hidden="false" customHeight="true" outlineLevel="0" collapsed="false">
      <c r="A492" s="44" t="str">
        <f aca="false">IF(B492="","",ROW()-4)</f>
        <v/>
      </c>
      <c r="B492" s="45"/>
      <c r="C492" s="46"/>
      <c r="D492" s="46"/>
      <c r="E492" s="46"/>
      <c r="F492" s="46"/>
      <c r="G492" s="47"/>
      <c r="H492" s="47"/>
      <c r="I492" s="45"/>
      <c r="J492" s="45"/>
    </row>
    <row r="493" customFormat="false" ht="18" hidden="false" customHeight="true" outlineLevel="0" collapsed="false">
      <c r="A493" s="44" t="str">
        <f aca="false">IF(B493="","",ROW()-4)</f>
        <v/>
      </c>
      <c r="B493" s="45"/>
      <c r="C493" s="46"/>
      <c r="D493" s="46"/>
      <c r="E493" s="46"/>
      <c r="F493" s="46"/>
      <c r="G493" s="47"/>
      <c r="H493" s="47"/>
      <c r="I493" s="45"/>
      <c r="J493" s="45"/>
    </row>
    <row r="494" customFormat="false" ht="18" hidden="false" customHeight="true" outlineLevel="0" collapsed="false">
      <c r="A494" s="44" t="str">
        <f aca="false">IF(B494="","",ROW()-4)</f>
        <v/>
      </c>
      <c r="B494" s="45"/>
      <c r="C494" s="46"/>
      <c r="D494" s="46"/>
      <c r="E494" s="46"/>
      <c r="F494" s="46"/>
      <c r="G494" s="47"/>
      <c r="H494" s="47"/>
      <c r="I494" s="45"/>
      <c r="J494" s="45"/>
    </row>
    <row r="495" customFormat="false" ht="18" hidden="false" customHeight="true" outlineLevel="0" collapsed="false">
      <c r="A495" s="44" t="str">
        <f aca="false">IF(B495="","",ROW()-4)</f>
        <v/>
      </c>
      <c r="B495" s="45"/>
      <c r="C495" s="46"/>
      <c r="D495" s="46"/>
      <c r="E495" s="46"/>
      <c r="F495" s="46"/>
      <c r="G495" s="47"/>
      <c r="H495" s="47"/>
      <c r="I495" s="45"/>
      <c r="J495" s="45"/>
    </row>
    <row r="496" customFormat="false" ht="18" hidden="false" customHeight="true" outlineLevel="0" collapsed="false">
      <c r="A496" s="44" t="str">
        <f aca="false">IF(B496="","",ROW()-4)</f>
        <v/>
      </c>
      <c r="B496" s="45"/>
      <c r="C496" s="46"/>
      <c r="D496" s="46"/>
      <c r="E496" s="46"/>
      <c r="F496" s="46"/>
      <c r="G496" s="47"/>
      <c r="H496" s="47"/>
      <c r="I496" s="45"/>
      <c r="J496" s="45"/>
    </row>
    <row r="497" customFormat="false" ht="18" hidden="false" customHeight="true" outlineLevel="0" collapsed="false">
      <c r="A497" s="44" t="str">
        <f aca="false">IF(B497="","",ROW()-4)</f>
        <v/>
      </c>
      <c r="B497" s="45"/>
      <c r="C497" s="46"/>
      <c r="D497" s="46"/>
      <c r="E497" s="46"/>
      <c r="F497" s="46"/>
      <c r="G497" s="47"/>
      <c r="H497" s="47"/>
      <c r="I497" s="45"/>
      <c r="J497" s="45"/>
    </row>
    <row r="498" customFormat="false" ht="18" hidden="false" customHeight="true" outlineLevel="0" collapsed="false">
      <c r="A498" s="44" t="str">
        <f aca="false">IF(B498="","",ROW()-4)</f>
        <v/>
      </c>
      <c r="B498" s="45"/>
      <c r="C498" s="46"/>
      <c r="D498" s="46"/>
      <c r="E498" s="46"/>
      <c r="F498" s="46"/>
      <c r="G498" s="47"/>
      <c r="H498" s="47"/>
      <c r="I498" s="45"/>
      <c r="J498" s="45"/>
    </row>
    <row r="499" customFormat="false" ht="18" hidden="false" customHeight="true" outlineLevel="0" collapsed="false">
      <c r="A499" s="44" t="str">
        <f aca="false">IF(B499="","",ROW()-4)</f>
        <v/>
      </c>
      <c r="B499" s="45"/>
      <c r="C499" s="46"/>
      <c r="D499" s="46"/>
      <c r="E499" s="46"/>
      <c r="F499" s="46"/>
      <c r="G499" s="47"/>
      <c r="H499" s="47"/>
      <c r="I499" s="45"/>
      <c r="J499" s="45"/>
    </row>
    <row r="500" customFormat="false" ht="18" hidden="false" customHeight="true" outlineLevel="0" collapsed="false">
      <c r="A500" s="44" t="str">
        <f aca="false">IF(B500="","",ROW()-4)</f>
        <v/>
      </c>
      <c r="B500" s="45"/>
      <c r="C500" s="46"/>
      <c r="D500" s="46"/>
      <c r="E500" s="46"/>
      <c r="F500" s="46"/>
      <c r="G500" s="47"/>
      <c r="H500" s="47"/>
      <c r="I500" s="45"/>
      <c r="J500" s="45"/>
    </row>
    <row r="501" customFormat="false" ht="18" hidden="false" customHeight="true" outlineLevel="0" collapsed="false">
      <c r="A501" s="44" t="str">
        <f aca="false">IF(B501="","",ROW()-4)</f>
        <v/>
      </c>
      <c r="B501" s="45"/>
      <c r="C501" s="46"/>
      <c r="D501" s="46"/>
      <c r="E501" s="46"/>
      <c r="F501" s="46"/>
      <c r="G501" s="47"/>
      <c r="H501" s="47"/>
      <c r="I501" s="45"/>
      <c r="J501" s="45"/>
    </row>
    <row r="502" customFormat="false" ht="18" hidden="false" customHeight="true" outlineLevel="0" collapsed="false">
      <c r="A502" s="44" t="str">
        <f aca="false">IF(B502="","",ROW()-4)</f>
        <v/>
      </c>
      <c r="B502" s="45"/>
      <c r="C502" s="46"/>
      <c r="D502" s="46"/>
      <c r="E502" s="46"/>
      <c r="F502" s="46"/>
      <c r="G502" s="47"/>
      <c r="H502" s="47"/>
      <c r="I502" s="45"/>
      <c r="J502" s="45"/>
    </row>
    <row r="503" customFormat="false" ht="18" hidden="false" customHeight="true" outlineLevel="0" collapsed="false">
      <c r="A503" s="44" t="str">
        <f aca="false">IF(B503="","",ROW()-4)</f>
        <v/>
      </c>
      <c r="B503" s="45"/>
      <c r="C503" s="46"/>
      <c r="D503" s="46"/>
      <c r="E503" s="46"/>
      <c r="F503" s="46"/>
      <c r="G503" s="47"/>
      <c r="H503" s="47"/>
      <c r="I503" s="45"/>
      <c r="J503" s="45"/>
    </row>
    <row r="504" customFormat="false" ht="18" hidden="false" customHeight="true" outlineLevel="0" collapsed="false">
      <c r="A504" s="44" t="str">
        <f aca="false">IF(B504="","",ROW()-4)</f>
        <v/>
      </c>
      <c r="B504" s="45"/>
      <c r="C504" s="46"/>
      <c r="D504" s="46"/>
      <c r="E504" s="46"/>
      <c r="F504" s="46"/>
      <c r="G504" s="47"/>
      <c r="H504" s="47"/>
      <c r="I504" s="45"/>
      <c r="J504" s="45"/>
    </row>
  </sheetData>
  <conditionalFormatting sqref="A5:J504">
    <cfRule type="expression" priority="2" aboveAverage="0" equalAverage="0" bottom="0" percent="0" rank="0" text="" dxfId="21">
      <formula>$C5="Promoted to Task"</formula>
    </cfRule>
    <cfRule type="expression" priority="3" aboveAverage="0" equalAverage="0" bottom="0" percent="0" rank="0" text="" dxfId="12">
      <formula>$C5="Dropped"</formula>
    </cfRule>
    <cfRule type="expression" priority="4" aboveAverage="0" equalAverage="0" bottom="0" percent="0" rank="0" text="" dxfId="14">
      <formula>$C5="Parked"</formula>
    </cfRule>
    <cfRule type="expression" priority="5" aboveAverage="0" equalAverage="0" bottom="0" percent="0" rank="0" text="" dxfId="16">
      <formula>$C5="Exploring"</formula>
    </cfRule>
    <cfRule type="expression" priority="6" aboveAverage="0" equalAverage="0" bottom="0" percent="0" rank="0" text="" dxfId="22">
      <formula>AND($B5&lt;&gt;"",$D5="High",$E5="Low",$C5&lt;&gt;"Dropped",$C5&lt;&gt;"Promoted to Task")</formula>
    </cfRule>
  </conditionalFormatting>
  <conditionalFormatting sqref="G5:G504">
    <cfRule type="expression" priority="7" aboveAverage="0" equalAverage="0" bottom="0" percent="0" rank="0" text="" dxfId="17">
      <formula>AND($G5&lt;&gt;"",$G5&lt;=TODAY(),$C5&lt;&gt;"Dropped",$C5&lt;&gt;"Promoted to Task")</formula>
    </cfRule>
  </conditionalFormatting>
  <dataValidations count="5">
    <dataValidation allowBlank="true" errorStyle="stop" operator="between" showDropDown="false" showErrorMessage="false" showInputMessage="false" sqref="C5:C504" type="list">
      <formula1>Lists!$D$5:$D$9</formula1>
      <formula2>0</formula2>
    </dataValidation>
    <dataValidation allowBlank="true" errorStyle="stop" operator="between" showDropDown="false" showErrorMessage="false" showInputMessage="false" sqref="D5:D504" type="list">
      <formula1>Lists!$E$5:$E$7</formula1>
      <formula2>0</formula2>
    </dataValidation>
    <dataValidation allowBlank="true" errorStyle="stop" operator="between" showDropDown="false" showErrorMessage="false" showInputMessage="false" sqref="E5:E504" type="list">
      <formula1>Lists!$E$5:$E$7</formula1>
      <formula2>0</formula2>
    </dataValidation>
    <dataValidation allowBlank="true" errorStyle="stop" operator="between" showDropDown="false" showErrorMessage="false" showInputMessage="false" sqref="F5:F504" type="list">
      <formula1>Lists!$A$5:$A$34</formula1>
      <formula2>0</formula2>
    </dataValidation>
    <dataValidation allowBlank="true" errorStyle="stop" operator="greaterThan" showDropDown="false" showErrorMessage="false" showInputMessage="false" sqref="G5:H504" type="date">
      <formula1>DATE(2000,1,1)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8"/>
    <col collapsed="false" customWidth="true" hidden="false" outlineLevel="0" max="4" min="4" style="0" width="20"/>
    <col collapsed="false" customWidth="true" hidden="false" outlineLevel="0" max="5" min="5" style="0" width="18"/>
  </cols>
  <sheetData>
    <row r="1" customFormat="false" ht="25.5" hidden="false" customHeight="tru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4" customFormat="false" ht="30" hidden="false" customHeight="true" outlineLevel="0" collapsed="false">
      <c r="A4" s="6" t="s">
        <v>118</v>
      </c>
      <c r="B4" s="6" t="s">
        <v>119</v>
      </c>
      <c r="C4" s="6" t="s">
        <v>51</v>
      </c>
      <c r="D4" s="6" t="s">
        <v>120</v>
      </c>
      <c r="E4" s="6" t="s">
        <v>121</v>
      </c>
    </row>
    <row r="5" customFormat="false" ht="15" hidden="false" customHeight="false" outlineLevel="0" collapsed="false">
      <c r="A5" s="40" t="s">
        <v>65</v>
      </c>
      <c r="B5" s="49" t="s">
        <v>12</v>
      </c>
      <c r="C5" s="49" t="s">
        <v>63</v>
      </c>
      <c r="D5" s="49" t="s">
        <v>104</v>
      </c>
      <c r="E5" s="49" t="s">
        <v>99</v>
      </c>
    </row>
    <row r="6" customFormat="false" ht="15" hidden="false" customHeight="false" outlineLevel="0" collapsed="false">
      <c r="A6" s="40" t="s">
        <v>70</v>
      </c>
      <c r="B6" s="49" t="s">
        <v>14</v>
      </c>
      <c r="C6" s="49" t="s">
        <v>72</v>
      </c>
      <c r="D6" s="49" t="s">
        <v>98</v>
      </c>
      <c r="E6" s="49" t="s">
        <v>100</v>
      </c>
    </row>
    <row r="7" customFormat="false" ht="15" hidden="false" customHeight="false" outlineLevel="0" collapsed="false">
      <c r="A7" s="40" t="s">
        <v>74</v>
      </c>
      <c r="B7" s="49" t="s">
        <v>16</v>
      </c>
      <c r="C7" s="49" t="s">
        <v>68</v>
      </c>
      <c r="D7" s="49" t="s">
        <v>122</v>
      </c>
      <c r="E7" s="49" t="s">
        <v>105</v>
      </c>
    </row>
    <row r="8" customFormat="false" ht="15" hidden="false" customHeight="false" outlineLevel="0" collapsed="false">
      <c r="A8" s="40" t="s">
        <v>82</v>
      </c>
      <c r="B8" s="49" t="s">
        <v>17</v>
      </c>
      <c r="C8" s="49" t="s">
        <v>80</v>
      </c>
      <c r="D8" s="49" t="s">
        <v>109</v>
      </c>
    </row>
    <row r="9" customFormat="false" ht="15" hidden="false" customHeight="false" outlineLevel="0" collapsed="false">
      <c r="A9" s="40" t="s">
        <v>113</v>
      </c>
      <c r="B9" s="49" t="s">
        <v>22</v>
      </c>
      <c r="D9" s="49" t="s">
        <v>123</v>
      </c>
    </row>
    <row r="10" customFormat="false" ht="15" hidden="false" customHeight="false" outlineLevel="0" collapsed="false">
      <c r="A10" s="40" t="s">
        <v>90</v>
      </c>
      <c r="B10" s="49" t="s">
        <v>40</v>
      </c>
    </row>
    <row r="11" customFormat="false" ht="15" hidden="false" customHeight="false" outlineLevel="0" collapsed="false">
      <c r="A11" s="40" t="s">
        <v>110</v>
      </c>
      <c r="B11" s="49" t="s">
        <v>18</v>
      </c>
    </row>
    <row r="12" customFormat="false" ht="15" hidden="false" customHeight="false" outlineLevel="0" collapsed="false">
      <c r="A12" s="40"/>
    </row>
    <row r="13" customFormat="false" ht="15" hidden="false" customHeight="false" outlineLevel="0" collapsed="false">
      <c r="A13" s="40"/>
    </row>
    <row r="14" customFormat="false" ht="15" hidden="false" customHeight="false" outlineLevel="0" collapsed="false">
      <c r="A14" s="40"/>
    </row>
    <row r="15" customFormat="false" ht="15" hidden="false" customHeight="false" outlineLevel="0" collapsed="false">
      <c r="A15" s="40"/>
    </row>
    <row r="16" customFormat="false" ht="15" hidden="false" customHeight="false" outlineLevel="0" collapsed="false">
      <c r="A16" s="40"/>
    </row>
    <row r="17" customFormat="false" ht="15" hidden="false" customHeight="false" outlineLevel="0" collapsed="false">
      <c r="A17" s="40"/>
    </row>
    <row r="18" customFormat="false" ht="15" hidden="false" customHeight="false" outlineLevel="0" collapsed="false">
      <c r="A18" s="40"/>
    </row>
    <row r="19" customFormat="false" ht="15" hidden="false" customHeight="false" outlineLevel="0" collapsed="false">
      <c r="A19" s="40"/>
    </row>
    <row r="20" customFormat="false" ht="15" hidden="false" customHeight="false" outlineLevel="0" collapsed="false">
      <c r="A20" s="40"/>
    </row>
    <row r="21" customFormat="false" ht="15" hidden="false" customHeight="false" outlineLevel="0" collapsed="false">
      <c r="A21" s="40"/>
    </row>
    <row r="22" customFormat="false" ht="15" hidden="false" customHeight="false" outlineLevel="0" collapsed="false">
      <c r="A22" s="40"/>
    </row>
    <row r="23" customFormat="false" ht="15" hidden="false" customHeight="false" outlineLevel="0" collapsed="false">
      <c r="A23" s="40"/>
    </row>
    <row r="24" customFormat="false" ht="15" hidden="false" customHeight="false" outlineLevel="0" collapsed="false">
      <c r="A24" s="40"/>
    </row>
    <row r="25" customFormat="false" ht="15" hidden="false" customHeight="false" outlineLevel="0" collapsed="false">
      <c r="A25" s="40"/>
    </row>
    <row r="26" customFormat="false" ht="15" hidden="false" customHeight="false" outlineLevel="0" collapsed="false">
      <c r="A26" s="40"/>
    </row>
    <row r="27" customFormat="false" ht="15" hidden="false" customHeight="false" outlineLevel="0" collapsed="false">
      <c r="A27" s="40"/>
    </row>
    <row r="28" customFormat="false" ht="15" hidden="false" customHeight="false" outlineLevel="0" collapsed="false">
      <c r="A28" s="40"/>
    </row>
    <row r="29" customFormat="false" ht="15" hidden="false" customHeight="false" outlineLevel="0" collapsed="false">
      <c r="A29" s="40"/>
    </row>
    <row r="30" customFormat="false" ht="15" hidden="false" customHeight="false" outlineLevel="0" collapsed="false">
      <c r="A30" s="40"/>
    </row>
    <row r="31" customFormat="false" ht="15" hidden="false" customHeight="false" outlineLevel="0" collapsed="false">
      <c r="A31" s="40"/>
    </row>
    <row r="32" customFormat="false" ht="15" hidden="false" customHeight="false" outlineLevel="0" collapsed="false">
      <c r="A32" s="40"/>
    </row>
    <row r="33" customFormat="false" ht="15" hidden="false" customHeight="false" outlineLevel="0" collapsed="false">
      <c r="A33" s="40"/>
    </row>
    <row r="34" customFormat="false" ht="15" hidden="false" customHeight="false" outlineLevel="0" collapsed="false">
      <c r="A34" s="4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tru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2"/>
  </cols>
  <sheetData>
    <row r="1" customFormat="false" ht="25.5" hidden="false" customHeight="true" outlineLevel="0" collapsed="false">
      <c r="A1" s="1" t="s">
        <v>124</v>
      </c>
    </row>
    <row r="2" customFormat="false" ht="15" hidden="false" customHeight="false" outlineLevel="0" collapsed="false">
      <c r="A2" s="2" t="s">
        <v>125</v>
      </c>
    </row>
    <row r="4" customFormat="false" ht="30" hidden="false" customHeight="true" outlineLevel="0" collapsed="false">
      <c r="A4" s="6" t="s">
        <v>126</v>
      </c>
      <c r="B4" s="6" t="s">
        <v>127</v>
      </c>
    </row>
    <row r="5" customFormat="false" ht="31.5" hidden="false" customHeight="true" outlineLevel="0" collapsed="false">
      <c r="A5" s="50" t="s">
        <v>128</v>
      </c>
      <c r="B5" s="51" t="s">
        <v>129</v>
      </c>
    </row>
    <row r="6" customFormat="false" ht="31.5" hidden="false" customHeight="true" outlineLevel="0" collapsed="false">
      <c r="A6" s="50" t="s">
        <v>130</v>
      </c>
      <c r="B6" s="51" t="s">
        <v>131</v>
      </c>
    </row>
    <row r="7" customFormat="false" ht="31.5" hidden="false" customHeight="true" outlineLevel="0" collapsed="false">
      <c r="A7" s="50" t="s">
        <v>132</v>
      </c>
      <c r="B7" s="51" t="s">
        <v>133</v>
      </c>
    </row>
    <row r="8" customFormat="false" ht="31.5" hidden="false" customHeight="true" outlineLevel="0" collapsed="false">
      <c r="A8" s="50" t="s">
        <v>134</v>
      </c>
      <c r="B8" s="51" t="s">
        <v>135</v>
      </c>
    </row>
    <row r="9" customFormat="false" ht="31.5" hidden="false" customHeight="true" outlineLevel="0" collapsed="false">
      <c r="A9" s="50" t="s">
        <v>136</v>
      </c>
      <c r="B9" s="51" t="s">
        <v>137</v>
      </c>
    </row>
    <row r="10" customFormat="false" ht="31.5" hidden="false" customHeight="true" outlineLevel="0" collapsed="false">
      <c r="A10" s="50" t="s">
        <v>138</v>
      </c>
      <c r="B10" s="51" t="s">
        <v>139</v>
      </c>
    </row>
    <row r="11" customFormat="false" ht="31.5" hidden="false" customHeight="true" outlineLevel="0" collapsed="false">
      <c r="A11" s="50" t="s">
        <v>140</v>
      </c>
      <c r="B11" s="51" t="s">
        <v>141</v>
      </c>
    </row>
    <row r="12" customFormat="false" ht="31.5" hidden="false" customHeight="true" outlineLevel="0" collapsed="false">
      <c r="A12" s="50" t="s">
        <v>142</v>
      </c>
      <c r="B12" s="51" t="s">
        <v>143</v>
      </c>
    </row>
    <row r="13" customFormat="false" ht="31.5" hidden="false" customHeight="true" outlineLevel="0" collapsed="false">
      <c r="A13" s="50" t="s">
        <v>144</v>
      </c>
      <c r="B13" s="51" t="s">
        <v>145</v>
      </c>
    </row>
    <row r="14" customFormat="false" ht="31.5" hidden="false" customHeight="true" outlineLevel="0" collapsed="false">
      <c r="A14" s="50" t="s">
        <v>146</v>
      </c>
      <c r="B14" s="51" t="s">
        <v>147</v>
      </c>
    </row>
    <row r="15" customFormat="false" ht="31.5" hidden="false" customHeight="true" outlineLevel="0" collapsed="false">
      <c r="A15" s="50" t="s">
        <v>148</v>
      </c>
      <c r="B15" s="51" t="s">
        <v>149</v>
      </c>
    </row>
    <row r="16" customFormat="false" ht="31.5" hidden="false" customHeight="true" outlineLevel="0" collapsed="false">
      <c r="A16" s="50" t="s">
        <v>150</v>
      </c>
      <c r="B16" s="51" t="s">
        <v>151</v>
      </c>
    </row>
    <row r="17" customFormat="false" ht="31.5" hidden="false" customHeight="true" outlineLevel="0" collapsed="false">
      <c r="A17" s="50" t="s">
        <v>152</v>
      </c>
      <c r="B17" s="51" t="s">
        <v>153</v>
      </c>
    </row>
    <row r="18" customFormat="false" ht="31.5" hidden="false" customHeight="true" outlineLevel="0" collapsed="false">
      <c r="A18" s="50" t="s">
        <v>154</v>
      </c>
      <c r="B18" s="51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2026-10-18T01:55:21Z</dcterms:created>
  <dc:creator>openpyxl</dc:creator>
  <dc:description/>
  <dc:language>en-US</dc:language>
  <cp:lastModifiedBy/>
  <dcterms:modified xsi:type="dcterms:W3CDTF">2026-10-18T01:55:21Z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